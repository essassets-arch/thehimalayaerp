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D:\prototype-next-main\"/>
    </mc:Choice>
  </mc:AlternateContent>
  <xr:revisionPtr revIDLastSave="0" documentId="8_{0F65131F-2A7E-462D-B3D3-E052D71E8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6" i="1" l="1"/>
  <c r="X316" i="1"/>
  <c r="V316" i="1"/>
  <c r="Z315" i="1"/>
  <c r="X315" i="1"/>
  <c r="V315" i="1"/>
  <c r="Z314" i="1"/>
  <c r="X314" i="1"/>
  <c r="V314" i="1"/>
  <c r="Z313" i="1"/>
  <c r="X313" i="1"/>
  <c r="V313" i="1"/>
  <c r="Z312" i="1"/>
  <c r="X312" i="1"/>
  <c r="V312" i="1"/>
  <c r="Z311" i="1"/>
  <c r="X311" i="1"/>
  <c r="V311" i="1"/>
  <c r="Z310" i="1"/>
  <c r="X310" i="1"/>
  <c r="V310" i="1"/>
  <c r="Z309" i="1"/>
  <c r="X309" i="1"/>
  <c r="V309" i="1"/>
  <c r="Z308" i="1"/>
  <c r="X308" i="1"/>
  <c r="V308" i="1"/>
  <c r="Z307" i="1"/>
  <c r="X307" i="1"/>
  <c r="V307" i="1"/>
  <c r="Z306" i="1"/>
  <c r="X306" i="1"/>
  <c r="V306" i="1"/>
  <c r="Z305" i="1"/>
  <c r="X305" i="1"/>
  <c r="V305" i="1"/>
  <c r="Z304" i="1"/>
  <c r="X304" i="1"/>
  <c r="V304" i="1"/>
  <c r="Z303" i="1"/>
  <c r="X303" i="1"/>
  <c r="V303" i="1"/>
  <c r="Z302" i="1"/>
  <c r="X302" i="1"/>
  <c r="V302" i="1"/>
  <c r="Z301" i="1"/>
  <c r="X301" i="1"/>
  <c r="V301" i="1"/>
  <c r="Z300" i="1"/>
  <c r="X300" i="1"/>
  <c r="V300" i="1"/>
  <c r="Z299" i="1"/>
  <c r="X299" i="1"/>
  <c r="V299" i="1"/>
  <c r="Z298" i="1"/>
  <c r="X298" i="1"/>
  <c r="V298" i="1"/>
  <c r="Z297" i="1"/>
  <c r="X297" i="1"/>
  <c r="V297" i="1"/>
  <c r="Z296" i="1"/>
  <c r="X296" i="1"/>
  <c r="V296" i="1"/>
  <c r="Z295" i="1"/>
  <c r="X295" i="1"/>
  <c r="V295" i="1"/>
  <c r="Z294" i="1"/>
  <c r="X294" i="1"/>
  <c r="V294" i="1"/>
  <c r="Z293" i="1"/>
  <c r="X293" i="1"/>
  <c r="V293" i="1"/>
  <c r="Z292" i="1"/>
  <c r="X292" i="1"/>
  <c r="V292" i="1"/>
  <c r="Z291" i="1"/>
  <c r="X291" i="1"/>
  <c r="V291" i="1"/>
  <c r="Z290" i="1"/>
  <c r="X290" i="1"/>
  <c r="V290" i="1"/>
  <c r="Z289" i="1"/>
  <c r="X289" i="1"/>
  <c r="V289" i="1"/>
  <c r="Z288" i="1"/>
  <c r="X288" i="1"/>
  <c r="V288" i="1"/>
  <c r="Z287" i="1"/>
  <c r="X287" i="1"/>
  <c r="V287" i="1"/>
  <c r="Z286" i="1"/>
  <c r="X286" i="1"/>
  <c r="V286" i="1"/>
  <c r="Z285" i="1"/>
  <c r="X285" i="1"/>
  <c r="V285" i="1"/>
  <c r="Z284" i="1"/>
  <c r="X284" i="1"/>
  <c r="V284" i="1"/>
  <c r="Z283" i="1"/>
  <c r="X283" i="1"/>
  <c r="V283" i="1"/>
  <c r="Z282" i="1"/>
  <c r="X282" i="1"/>
  <c r="V282" i="1"/>
  <c r="Z281" i="1"/>
  <c r="X281" i="1"/>
  <c r="V281" i="1"/>
  <c r="Z280" i="1"/>
  <c r="X280" i="1"/>
  <c r="V280" i="1"/>
  <c r="Z279" i="1"/>
  <c r="X279" i="1"/>
  <c r="V279" i="1"/>
  <c r="Z278" i="1"/>
  <c r="X278" i="1"/>
  <c r="V278" i="1"/>
  <c r="Z277" i="1"/>
  <c r="X277" i="1"/>
  <c r="V277" i="1"/>
  <c r="Z276" i="1"/>
  <c r="X276" i="1"/>
  <c r="V276" i="1"/>
  <c r="Z275" i="1"/>
  <c r="X275" i="1"/>
  <c r="V275" i="1"/>
  <c r="Z274" i="1"/>
  <c r="X274" i="1"/>
  <c r="V274" i="1"/>
  <c r="Z273" i="1"/>
  <c r="X273" i="1"/>
  <c r="V273" i="1"/>
  <c r="Z272" i="1"/>
  <c r="X272" i="1"/>
  <c r="V272" i="1"/>
  <c r="Z271" i="1"/>
  <c r="X271" i="1"/>
  <c r="V271" i="1"/>
  <c r="Z270" i="1"/>
  <c r="X270" i="1"/>
  <c r="V270" i="1"/>
  <c r="Z269" i="1"/>
  <c r="X269" i="1"/>
  <c r="V269" i="1"/>
  <c r="Z268" i="1"/>
  <c r="X268" i="1"/>
  <c r="V268" i="1"/>
  <c r="Z267" i="1"/>
  <c r="X267" i="1"/>
  <c r="V267" i="1"/>
  <c r="Z266" i="1"/>
  <c r="X266" i="1"/>
  <c r="V266" i="1"/>
  <c r="Z265" i="1"/>
  <c r="X265" i="1"/>
  <c r="V265" i="1"/>
  <c r="Z264" i="1"/>
  <c r="X264" i="1"/>
  <c r="V264" i="1"/>
  <c r="Z263" i="1"/>
  <c r="X263" i="1"/>
  <c r="V263" i="1"/>
  <c r="Z262" i="1"/>
  <c r="X262" i="1"/>
  <c r="V262" i="1"/>
  <c r="Z261" i="1"/>
  <c r="X261" i="1"/>
  <c r="V261" i="1"/>
  <c r="Z260" i="1"/>
  <c r="X260" i="1"/>
  <c r="V260" i="1"/>
  <c r="Z259" i="1"/>
  <c r="X259" i="1"/>
  <c r="V259" i="1"/>
  <c r="Z258" i="1"/>
  <c r="X258" i="1"/>
  <c r="V258" i="1"/>
  <c r="Z257" i="1"/>
  <c r="X257" i="1"/>
  <c r="V257" i="1"/>
  <c r="Z256" i="1"/>
  <c r="X256" i="1"/>
  <c r="V256" i="1"/>
  <c r="Z255" i="1"/>
  <c r="X255" i="1"/>
  <c r="V255" i="1"/>
  <c r="Z254" i="1"/>
  <c r="X254" i="1"/>
  <c r="V254" i="1"/>
  <c r="Z253" i="1"/>
  <c r="X253" i="1"/>
  <c r="V253" i="1"/>
  <c r="Z252" i="1"/>
  <c r="X252" i="1"/>
  <c r="V252" i="1"/>
  <c r="Z251" i="1"/>
  <c r="X251" i="1"/>
  <c r="V251" i="1"/>
  <c r="Z250" i="1"/>
  <c r="X250" i="1"/>
  <c r="V250" i="1"/>
  <c r="Z249" i="1"/>
  <c r="X249" i="1"/>
  <c r="V249" i="1"/>
  <c r="Z248" i="1"/>
  <c r="X248" i="1"/>
  <c r="V248" i="1"/>
  <c r="Z247" i="1"/>
  <c r="X247" i="1"/>
  <c r="V247" i="1"/>
  <c r="Z246" i="1"/>
  <c r="X246" i="1"/>
  <c r="V246" i="1"/>
  <c r="Z245" i="1"/>
  <c r="X245" i="1"/>
  <c r="V245" i="1"/>
  <c r="Z244" i="1"/>
  <c r="X244" i="1"/>
  <c r="V244" i="1"/>
  <c r="Z243" i="1"/>
  <c r="X243" i="1"/>
  <c r="V243" i="1"/>
  <c r="Z242" i="1"/>
  <c r="X242" i="1"/>
  <c r="V242" i="1"/>
  <c r="Z241" i="1"/>
  <c r="X241" i="1"/>
  <c r="V241" i="1"/>
  <c r="Z240" i="1"/>
  <c r="X240" i="1"/>
  <c r="V240" i="1"/>
  <c r="Z239" i="1"/>
  <c r="X239" i="1"/>
  <c r="V239" i="1"/>
  <c r="Z238" i="1"/>
  <c r="X238" i="1"/>
  <c r="V238" i="1"/>
  <c r="Z237" i="1"/>
  <c r="X237" i="1"/>
  <c r="V237" i="1"/>
  <c r="Z236" i="1"/>
  <c r="X236" i="1"/>
  <c r="V236" i="1"/>
  <c r="Z235" i="1"/>
  <c r="X235" i="1"/>
  <c r="V235" i="1"/>
  <c r="Z234" i="1"/>
  <c r="X234" i="1"/>
  <c r="V234" i="1"/>
  <c r="Z233" i="1"/>
  <c r="X233" i="1"/>
  <c r="V233" i="1"/>
  <c r="Z232" i="1"/>
  <c r="X232" i="1"/>
  <c r="V232" i="1"/>
  <c r="Z231" i="1"/>
  <c r="X231" i="1"/>
  <c r="V231" i="1"/>
  <c r="Z230" i="1"/>
  <c r="X230" i="1"/>
  <c r="V230" i="1"/>
  <c r="Z229" i="1"/>
  <c r="X229" i="1"/>
  <c r="V229" i="1"/>
  <c r="Z228" i="1"/>
  <c r="X228" i="1"/>
  <c r="V228" i="1"/>
  <c r="Z227" i="1"/>
  <c r="X227" i="1"/>
  <c r="V227" i="1"/>
  <c r="Z226" i="1"/>
  <c r="X226" i="1"/>
  <c r="V226" i="1"/>
  <c r="Z225" i="1"/>
  <c r="X225" i="1"/>
  <c r="V225" i="1"/>
  <c r="Z224" i="1"/>
  <c r="X224" i="1"/>
  <c r="V224" i="1"/>
  <c r="Z223" i="1"/>
  <c r="X223" i="1"/>
  <c r="V223" i="1"/>
  <c r="Z222" i="1"/>
  <c r="X222" i="1"/>
  <c r="V222" i="1"/>
  <c r="Z221" i="1"/>
  <c r="X221" i="1"/>
  <c r="V221" i="1"/>
  <c r="Z220" i="1"/>
  <c r="X220" i="1"/>
  <c r="V220" i="1"/>
  <c r="Z219" i="1"/>
  <c r="X219" i="1"/>
  <c r="V219" i="1"/>
  <c r="Z218" i="1"/>
  <c r="X218" i="1"/>
  <c r="V218" i="1"/>
  <c r="Z217" i="1"/>
  <c r="X217" i="1"/>
  <c r="V217" i="1"/>
  <c r="Z216" i="1"/>
  <c r="X216" i="1"/>
  <c r="V216" i="1"/>
  <c r="Z215" i="1"/>
  <c r="X215" i="1"/>
  <c r="V215" i="1"/>
  <c r="Z214" i="1"/>
  <c r="X214" i="1"/>
  <c r="V214" i="1"/>
  <c r="Z213" i="1"/>
  <c r="X213" i="1"/>
  <c r="V213" i="1"/>
  <c r="Z212" i="1"/>
  <c r="X212" i="1"/>
  <c r="V212" i="1"/>
  <c r="Z211" i="1"/>
  <c r="X211" i="1"/>
  <c r="V211" i="1"/>
  <c r="Z210" i="1"/>
  <c r="X210" i="1"/>
  <c r="V210" i="1"/>
  <c r="Z209" i="1"/>
  <c r="X209" i="1"/>
  <c r="V209" i="1"/>
  <c r="Z208" i="1"/>
  <c r="X208" i="1"/>
  <c r="V208" i="1"/>
  <c r="Z207" i="1"/>
  <c r="X207" i="1"/>
  <c r="V207" i="1"/>
  <c r="Z206" i="1"/>
  <c r="X206" i="1"/>
  <c r="V206" i="1"/>
  <c r="Z205" i="1"/>
  <c r="X205" i="1"/>
  <c r="V205" i="1"/>
  <c r="Z204" i="1"/>
  <c r="X204" i="1"/>
  <c r="V204" i="1"/>
  <c r="Z203" i="1"/>
  <c r="X203" i="1"/>
  <c r="V203" i="1"/>
  <c r="Z202" i="1"/>
  <c r="X202" i="1"/>
  <c r="V202" i="1"/>
  <c r="Z201" i="1"/>
  <c r="X201" i="1"/>
  <c r="V201" i="1"/>
  <c r="Z200" i="1"/>
  <c r="X200" i="1"/>
  <c r="V200" i="1"/>
  <c r="Z199" i="1"/>
  <c r="X199" i="1"/>
  <c r="V199" i="1"/>
  <c r="Z198" i="1"/>
  <c r="X198" i="1"/>
  <c r="V198" i="1"/>
  <c r="Z197" i="1"/>
  <c r="X197" i="1"/>
  <c r="V197" i="1"/>
  <c r="Z196" i="1"/>
  <c r="X196" i="1"/>
  <c r="V196" i="1"/>
  <c r="Z195" i="1"/>
  <c r="X195" i="1"/>
  <c r="V195" i="1"/>
  <c r="Z194" i="1"/>
  <c r="X194" i="1"/>
  <c r="V194" i="1"/>
  <c r="Z193" i="1"/>
  <c r="X193" i="1"/>
  <c r="V193" i="1"/>
  <c r="Z192" i="1"/>
  <c r="X192" i="1"/>
  <c r="V192" i="1"/>
  <c r="Z191" i="1"/>
  <c r="X191" i="1"/>
  <c r="V191" i="1"/>
  <c r="Z190" i="1"/>
  <c r="X190" i="1"/>
  <c r="V190" i="1"/>
  <c r="Z189" i="1"/>
  <c r="X189" i="1"/>
  <c r="V189" i="1"/>
  <c r="Z188" i="1"/>
  <c r="X188" i="1"/>
  <c r="V188" i="1"/>
  <c r="Z187" i="1"/>
  <c r="X187" i="1"/>
  <c r="V187" i="1"/>
  <c r="Z186" i="1"/>
  <c r="X186" i="1"/>
  <c r="V186" i="1"/>
  <c r="Z185" i="1"/>
  <c r="X185" i="1"/>
  <c r="V185" i="1"/>
  <c r="Z184" i="1"/>
  <c r="X184" i="1"/>
  <c r="V184" i="1"/>
  <c r="Z183" i="1"/>
  <c r="X183" i="1"/>
  <c r="V183" i="1"/>
  <c r="Z182" i="1"/>
  <c r="X182" i="1"/>
  <c r="V182" i="1"/>
  <c r="Z181" i="1"/>
  <c r="X181" i="1"/>
  <c r="V181" i="1"/>
  <c r="Z180" i="1"/>
  <c r="X180" i="1"/>
  <c r="V180" i="1"/>
  <c r="Z179" i="1"/>
  <c r="X179" i="1"/>
  <c r="V179" i="1"/>
  <c r="Z178" i="1"/>
  <c r="X178" i="1"/>
  <c r="V178" i="1"/>
  <c r="Z177" i="1"/>
  <c r="X177" i="1"/>
  <c r="V177" i="1"/>
  <c r="Z176" i="1"/>
  <c r="X176" i="1"/>
  <c r="V176" i="1"/>
  <c r="Z175" i="1"/>
  <c r="X175" i="1"/>
  <c r="V175" i="1"/>
  <c r="Z174" i="1"/>
  <c r="X174" i="1"/>
  <c r="V174" i="1"/>
  <c r="Z173" i="1"/>
  <c r="X173" i="1"/>
  <c r="V173" i="1"/>
  <c r="Z172" i="1"/>
  <c r="X172" i="1"/>
  <c r="V172" i="1"/>
  <c r="Z171" i="1"/>
  <c r="X171" i="1"/>
  <c r="V171" i="1"/>
  <c r="Z170" i="1"/>
  <c r="X170" i="1"/>
  <c r="V170" i="1"/>
  <c r="Z169" i="1"/>
  <c r="X169" i="1"/>
  <c r="V169" i="1"/>
  <c r="Z168" i="1"/>
  <c r="X168" i="1"/>
  <c r="V168" i="1"/>
  <c r="Z167" i="1"/>
  <c r="X167" i="1"/>
  <c r="V167" i="1"/>
  <c r="Z166" i="1"/>
  <c r="X166" i="1"/>
  <c r="V166" i="1"/>
  <c r="Z165" i="1"/>
  <c r="X165" i="1"/>
  <c r="V165" i="1"/>
  <c r="Z164" i="1"/>
  <c r="X164" i="1"/>
  <c r="V164" i="1"/>
  <c r="Z163" i="1"/>
  <c r="X163" i="1"/>
  <c r="V163" i="1"/>
  <c r="Z162" i="1"/>
  <c r="X162" i="1"/>
  <c r="V162" i="1"/>
  <c r="Z161" i="1"/>
  <c r="X161" i="1"/>
  <c r="V161" i="1"/>
  <c r="Z160" i="1"/>
  <c r="X160" i="1"/>
  <c r="V160" i="1"/>
  <c r="Z159" i="1"/>
  <c r="X159" i="1"/>
  <c r="V159" i="1"/>
  <c r="Z158" i="1"/>
  <c r="X158" i="1"/>
  <c r="V158" i="1"/>
  <c r="Z157" i="1"/>
  <c r="X157" i="1"/>
  <c r="V157" i="1"/>
  <c r="Z156" i="1"/>
  <c r="X156" i="1"/>
  <c r="V156" i="1"/>
  <c r="Z155" i="1"/>
  <c r="X155" i="1"/>
  <c r="V155" i="1"/>
  <c r="Z154" i="1"/>
  <c r="X154" i="1"/>
  <c r="V154" i="1"/>
  <c r="Z153" i="1"/>
  <c r="X153" i="1"/>
  <c r="V153" i="1"/>
  <c r="Z152" i="1"/>
  <c r="X152" i="1"/>
  <c r="V152" i="1"/>
  <c r="Z151" i="1"/>
  <c r="X151" i="1"/>
  <c r="V151" i="1"/>
  <c r="Z150" i="1"/>
  <c r="X150" i="1"/>
  <c r="V150" i="1"/>
  <c r="Z149" i="1"/>
  <c r="X149" i="1"/>
  <c r="V149" i="1"/>
  <c r="Z148" i="1"/>
  <c r="X148" i="1"/>
  <c r="V148" i="1"/>
  <c r="Z147" i="1"/>
  <c r="X147" i="1"/>
  <c r="V147" i="1"/>
  <c r="Z146" i="1"/>
  <c r="X146" i="1"/>
  <c r="V146" i="1"/>
  <c r="Z145" i="1"/>
  <c r="X145" i="1"/>
  <c r="V145" i="1"/>
  <c r="Z144" i="1"/>
  <c r="X144" i="1"/>
  <c r="V144" i="1"/>
  <c r="Z143" i="1"/>
  <c r="X143" i="1"/>
  <c r="V143" i="1"/>
  <c r="Z142" i="1"/>
  <c r="X142" i="1"/>
  <c r="V142" i="1"/>
  <c r="Z141" i="1"/>
  <c r="X141" i="1"/>
  <c r="V141" i="1"/>
  <c r="Z140" i="1"/>
  <c r="X140" i="1"/>
  <c r="V140" i="1"/>
  <c r="Z139" i="1"/>
  <c r="X139" i="1"/>
  <c r="V139" i="1"/>
  <c r="Z138" i="1"/>
  <c r="X138" i="1"/>
  <c r="V138" i="1"/>
  <c r="Z137" i="1"/>
  <c r="X137" i="1"/>
  <c r="V137" i="1"/>
  <c r="Z136" i="1"/>
  <c r="X136" i="1"/>
  <c r="V136" i="1"/>
  <c r="Z135" i="1"/>
  <c r="X135" i="1"/>
  <c r="V135" i="1"/>
  <c r="Z134" i="1"/>
  <c r="X134" i="1"/>
  <c r="V134" i="1"/>
  <c r="Z133" i="1"/>
  <c r="X133" i="1"/>
  <c r="V133" i="1"/>
  <c r="Z132" i="1"/>
  <c r="X132" i="1"/>
  <c r="V132" i="1"/>
  <c r="Z131" i="1"/>
  <c r="X131" i="1"/>
  <c r="V131" i="1"/>
  <c r="Z130" i="1"/>
  <c r="X130" i="1"/>
  <c r="V130" i="1"/>
  <c r="Z129" i="1"/>
  <c r="X129" i="1"/>
  <c r="V129" i="1"/>
  <c r="Z128" i="1"/>
  <c r="X128" i="1"/>
  <c r="V128" i="1"/>
  <c r="Z127" i="1"/>
  <c r="X127" i="1"/>
  <c r="V127" i="1"/>
  <c r="Z126" i="1"/>
  <c r="X126" i="1"/>
  <c r="V126" i="1"/>
  <c r="Z125" i="1"/>
  <c r="X125" i="1"/>
  <c r="V125" i="1"/>
  <c r="Z124" i="1"/>
  <c r="X124" i="1"/>
  <c r="V124" i="1"/>
  <c r="Z123" i="1"/>
  <c r="X123" i="1"/>
  <c r="V123" i="1"/>
  <c r="Z122" i="1"/>
  <c r="X122" i="1"/>
  <c r="V122" i="1"/>
  <c r="Z121" i="1"/>
  <c r="X121" i="1"/>
  <c r="V121" i="1"/>
  <c r="Z120" i="1"/>
  <c r="X120" i="1"/>
  <c r="V120" i="1"/>
  <c r="Z119" i="1"/>
  <c r="X119" i="1"/>
  <c r="V119" i="1"/>
  <c r="Z118" i="1"/>
  <c r="X118" i="1"/>
  <c r="V118" i="1"/>
  <c r="Z117" i="1"/>
  <c r="X117" i="1"/>
  <c r="V117" i="1"/>
  <c r="Z116" i="1"/>
  <c r="X116" i="1"/>
  <c r="V116" i="1"/>
  <c r="Z115" i="1"/>
  <c r="X115" i="1"/>
  <c r="V115" i="1"/>
  <c r="Z114" i="1"/>
  <c r="X114" i="1"/>
  <c r="V114" i="1"/>
  <c r="Z113" i="1"/>
  <c r="X113" i="1"/>
  <c r="V113" i="1"/>
  <c r="Z112" i="1"/>
  <c r="X112" i="1"/>
  <c r="V112" i="1"/>
  <c r="Z111" i="1"/>
  <c r="X111" i="1"/>
  <c r="V111" i="1"/>
  <c r="Z110" i="1"/>
  <c r="X110" i="1"/>
  <c r="V110" i="1"/>
  <c r="Z109" i="1"/>
  <c r="X109" i="1"/>
  <c r="V109" i="1"/>
  <c r="Z108" i="1"/>
  <c r="X108" i="1"/>
  <c r="V108" i="1"/>
  <c r="Z107" i="1"/>
  <c r="X107" i="1"/>
  <c r="V107" i="1"/>
  <c r="Z106" i="1"/>
  <c r="X106" i="1"/>
  <c r="V106" i="1"/>
  <c r="Z105" i="1"/>
  <c r="X105" i="1"/>
  <c r="V105" i="1"/>
  <c r="Z104" i="1"/>
  <c r="X104" i="1"/>
  <c r="V104" i="1"/>
  <c r="Z103" i="1"/>
  <c r="X103" i="1"/>
  <c r="V103" i="1"/>
  <c r="Z102" i="1"/>
  <c r="X102" i="1"/>
  <c r="V102" i="1"/>
  <c r="Z101" i="1"/>
  <c r="X101" i="1"/>
  <c r="V101" i="1"/>
  <c r="Z100" i="1"/>
  <c r="X100" i="1"/>
  <c r="V100" i="1"/>
  <c r="Z99" i="1"/>
  <c r="X99" i="1"/>
  <c r="V99" i="1"/>
  <c r="Z98" i="1"/>
  <c r="X98" i="1"/>
  <c r="V98" i="1"/>
  <c r="Z97" i="1"/>
  <c r="X97" i="1"/>
  <c r="V97" i="1"/>
  <c r="Z96" i="1"/>
  <c r="X96" i="1"/>
  <c r="V96" i="1"/>
  <c r="Z95" i="1"/>
  <c r="X95" i="1"/>
  <c r="V95" i="1"/>
  <c r="Z94" i="1"/>
  <c r="X94" i="1"/>
  <c r="V94" i="1"/>
  <c r="Z93" i="1"/>
  <c r="X93" i="1"/>
  <c r="V93" i="1"/>
  <c r="Z92" i="1"/>
  <c r="X92" i="1"/>
  <c r="V92" i="1"/>
  <c r="Z91" i="1"/>
  <c r="X91" i="1"/>
  <c r="V91" i="1"/>
  <c r="Z90" i="1"/>
  <c r="X90" i="1"/>
  <c r="V90" i="1"/>
  <c r="Z89" i="1"/>
  <c r="X89" i="1"/>
  <c r="V89" i="1"/>
  <c r="Z88" i="1"/>
  <c r="X88" i="1"/>
  <c r="V88" i="1"/>
  <c r="Z87" i="1"/>
  <c r="X87" i="1"/>
  <c r="V87" i="1"/>
  <c r="Z86" i="1"/>
  <c r="X86" i="1"/>
  <c r="V86" i="1"/>
  <c r="Z85" i="1"/>
  <c r="X85" i="1"/>
  <c r="V85" i="1"/>
  <c r="Z84" i="1"/>
  <c r="X84" i="1"/>
  <c r="V84" i="1"/>
  <c r="Z83" i="1"/>
  <c r="X83" i="1"/>
  <c r="V83" i="1"/>
  <c r="Z82" i="1"/>
  <c r="X82" i="1"/>
  <c r="V82" i="1"/>
  <c r="Z81" i="1"/>
  <c r="X81" i="1"/>
  <c r="V81" i="1"/>
  <c r="Z80" i="1"/>
  <c r="X80" i="1"/>
  <c r="V80" i="1"/>
  <c r="Z79" i="1"/>
  <c r="X79" i="1"/>
  <c r="V79" i="1"/>
  <c r="Z78" i="1"/>
  <c r="X78" i="1"/>
  <c r="V78" i="1"/>
  <c r="Z77" i="1"/>
  <c r="X77" i="1"/>
  <c r="V77" i="1"/>
  <c r="Z76" i="1"/>
  <c r="X76" i="1"/>
  <c r="V76" i="1"/>
  <c r="Z75" i="1"/>
  <c r="X75" i="1"/>
  <c r="V75" i="1"/>
  <c r="Z74" i="1"/>
  <c r="X74" i="1"/>
  <c r="V74" i="1"/>
  <c r="Z73" i="1"/>
  <c r="X73" i="1"/>
  <c r="V73" i="1"/>
  <c r="Z72" i="1"/>
  <c r="X72" i="1"/>
  <c r="V72" i="1"/>
  <c r="Z71" i="1"/>
  <c r="X71" i="1"/>
  <c r="V71" i="1"/>
  <c r="Z70" i="1"/>
  <c r="X70" i="1"/>
  <c r="V70" i="1"/>
  <c r="Z69" i="1"/>
  <c r="X69" i="1"/>
  <c r="V69" i="1"/>
  <c r="Z68" i="1"/>
  <c r="X68" i="1"/>
  <c r="V68" i="1"/>
  <c r="Z67" i="1"/>
  <c r="X67" i="1"/>
  <c r="V67" i="1"/>
  <c r="Z66" i="1"/>
  <c r="X66" i="1"/>
  <c r="V66" i="1"/>
  <c r="Z65" i="1"/>
  <c r="X65" i="1"/>
  <c r="V65" i="1"/>
  <c r="Z64" i="1"/>
  <c r="X64" i="1"/>
  <c r="V64" i="1"/>
  <c r="Z63" i="1"/>
  <c r="X63" i="1"/>
  <c r="V63" i="1"/>
  <c r="Z62" i="1"/>
  <c r="X62" i="1"/>
  <c r="V62" i="1"/>
  <c r="Z61" i="1"/>
  <c r="X61" i="1"/>
  <c r="V61" i="1"/>
  <c r="Z60" i="1"/>
  <c r="X60" i="1"/>
  <c r="V60" i="1"/>
  <c r="Z59" i="1"/>
  <c r="X59" i="1"/>
  <c r="V59" i="1"/>
  <c r="Z58" i="1"/>
  <c r="X58" i="1"/>
  <c r="V58" i="1"/>
  <c r="Z57" i="1"/>
  <c r="X57" i="1"/>
  <c r="V57" i="1"/>
  <c r="Z56" i="1"/>
  <c r="X56" i="1"/>
  <c r="V56" i="1"/>
  <c r="Z55" i="1"/>
  <c r="X55" i="1"/>
  <c r="V55" i="1"/>
  <c r="Z54" i="1"/>
  <c r="X54" i="1"/>
  <c r="V54" i="1"/>
  <c r="Z53" i="1"/>
  <c r="X53" i="1"/>
  <c r="V53" i="1"/>
  <c r="Z52" i="1"/>
  <c r="X52" i="1"/>
  <c r="V52" i="1"/>
  <c r="Z51" i="1"/>
  <c r="X51" i="1"/>
  <c r="V51" i="1"/>
  <c r="Z50" i="1"/>
  <c r="X50" i="1"/>
  <c r="V50" i="1"/>
  <c r="Z49" i="1"/>
  <c r="X49" i="1"/>
  <c r="V49" i="1"/>
  <c r="Z48" i="1"/>
  <c r="X48" i="1"/>
  <c r="V48" i="1"/>
  <c r="Z47" i="1"/>
  <c r="X47" i="1"/>
  <c r="V47" i="1"/>
  <c r="Z46" i="1"/>
  <c r="X46" i="1"/>
  <c r="V46" i="1"/>
  <c r="Z45" i="1"/>
  <c r="X45" i="1"/>
  <c r="V45" i="1"/>
  <c r="Z44" i="1"/>
  <c r="X44" i="1"/>
  <c r="V44" i="1"/>
  <c r="Z43" i="1"/>
  <c r="X43" i="1"/>
  <c r="V43" i="1"/>
  <c r="Z42" i="1"/>
  <c r="X42" i="1"/>
  <c r="V42" i="1"/>
  <c r="Z41" i="1"/>
  <c r="X41" i="1"/>
  <c r="V41" i="1"/>
  <c r="Z40" i="1"/>
  <c r="X40" i="1"/>
  <c r="V40" i="1"/>
  <c r="Z39" i="1"/>
  <c r="X39" i="1"/>
  <c r="V39" i="1"/>
  <c r="Z38" i="1"/>
  <c r="X38" i="1"/>
  <c r="V38" i="1"/>
  <c r="Z37" i="1"/>
  <c r="X37" i="1"/>
  <c r="V37" i="1"/>
  <c r="Z36" i="1"/>
  <c r="X36" i="1"/>
  <c r="V36" i="1"/>
  <c r="Z35" i="1"/>
  <c r="X35" i="1"/>
  <c r="V35" i="1"/>
  <c r="Z34" i="1"/>
  <c r="X34" i="1"/>
  <c r="V34" i="1"/>
  <c r="Z33" i="1"/>
  <c r="X33" i="1"/>
  <c r="V33" i="1"/>
  <c r="Z32" i="1"/>
  <c r="X32" i="1"/>
  <c r="V32" i="1"/>
  <c r="Z31" i="1"/>
  <c r="X31" i="1"/>
  <c r="V31" i="1"/>
  <c r="Z30" i="1"/>
  <c r="X30" i="1"/>
  <c r="V30" i="1"/>
  <c r="Z29" i="1"/>
  <c r="X29" i="1"/>
  <c r="V29" i="1"/>
  <c r="Z28" i="1"/>
  <c r="X28" i="1"/>
  <c r="V28" i="1"/>
  <c r="Z27" i="1"/>
  <c r="X27" i="1"/>
  <c r="V27" i="1"/>
  <c r="Z26" i="1"/>
  <c r="X26" i="1"/>
  <c r="V26" i="1"/>
  <c r="Z25" i="1"/>
  <c r="X25" i="1"/>
  <c r="V25" i="1"/>
  <c r="Z24" i="1"/>
  <c r="X24" i="1"/>
  <c r="V24" i="1"/>
  <c r="Z23" i="1"/>
  <c r="X23" i="1"/>
  <c r="V23" i="1"/>
  <c r="Z22" i="1"/>
  <c r="X22" i="1"/>
  <c r="V22" i="1"/>
  <c r="Z21" i="1"/>
  <c r="X21" i="1"/>
  <c r="V21" i="1"/>
  <c r="Z20" i="1"/>
  <c r="X20" i="1"/>
  <c r="V20" i="1"/>
  <c r="Z19" i="1"/>
  <c r="X19" i="1"/>
  <c r="V19" i="1"/>
  <c r="Z18" i="1"/>
  <c r="X18" i="1"/>
  <c r="V18" i="1"/>
  <c r="Z17" i="1"/>
  <c r="X17" i="1"/>
  <c r="V17" i="1"/>
  <c r="Z16" i="1"/>
  <c r="X16" i="1"/>
  <c r="V16" i="1"/>
  <c r="Z15" i="1"/>
  <c r="X15" i="1"/>
  <c r="V15" i="1"/>
  <c r="Z14" i="1"/>
  <c r="X14" i="1"/>
  <c r="V14" i="1"/>
  <c r="Z13" i="1"/>
  <c r="X13" i="1"/>
  <c r="V13" i="1"/>
  <c r="Z12" i="1"/>
  <c r="X12" i="1"/>
  <c r="V12" i="1"/>
  <c r="Z11" i="1"/>
  <c r="X11" i="1"/>
  <c r="V11" i="1"/>
  <c r="Z10" i="1"/>
  <c r="X10" i="1"/>
  <c r="V10" i="1"/>
  <c r="Z9" i="1"/>
  <c r="X9" i="1"/>
  <c r="V9" i="1"/>
  <c r="Z8" i="1"/>
  <c r="X8" i="1"/>
  <c r="V8" i="1"/>
  <c r="Z7" i="1"/>
  <c r="X7" i="1"/>
  <c r="V7" i="1"/>
  <c r="Z6" i="1"/>
  <c r="X6" i="1"/>
  <c r="V6" i="1"/>
  <c r="Z5" i="1"/>
  <c r="X5" i="1"/>
  <c r="V5" i="1"/>
  <c r="Z4" i="1"/>
  <c r="X4" i="1"/>
  <c r="V4" i="1"/>
  <c r="Z3" i="1"/>
  <c r="X3" i="1"/>
  <c r="V3" i="1"/>
  <c r="Z2" i="1"/>
  <c r="X2" i="1"/>
  <c r="V2" i="1"/>
</calcChain>
</file>

<file path=xl/sharedStrings.xml><?xml version="1.0" encoding="utf-8"?>
<sst xmlns="http://schemas.openxmlformats.org/spreadsheetml/2006/main" count="5356" uniqueCount="420">
  <si>
    <t>lead_date</t>
  </si>
  <si>
    <t>project_name</t>
  </si>
  <si>
    <t>group name</t>
  </si>
  <si>
    <t>gst name</t>
  </si>
  <si>
    <t>gst no</t>
  </si>
  <si>
    <t>Site_incharge</t>
  </si>
  <si>
    <t>site_incharge_mobile</t>
  </si>
  <si>
    <t>office_contact</t>
  </si>
  <si>
    <t>email</t>
  </si>
  <si>
    <t>logged_in_sales_representive</t>
  </si>
  <si>
    <t>login_date&amp;time</t>
  </si>
  <si>
    <t>ADDRESS</t>
  </si>
  <si>
    <t>state</t>
  </si>
  <si>
    <t>city</t>
  </si>
  <si>
    <t>pincode</t>
  </si>
  <si>
    <t>PRODUCT</t>
  </si>
  <si>
    <t>QTY</t>
  </si>
  <si>
    <t>COLOR</t>
  </si>
  <si>
    <t>unit_pricew</t>
  </si>
  <si>
    <t>sub_total</t>
  </si>
  <si>
    <t>gst</t>
  </si>
  <si>
    <t>gst_amount</t>
  </si>
  <si>
    <t>discount</t>
  </si>
  <si>
    <t>grand_total</t>
  </si>
  <si>
    <t>MENVOC INFRASTRUCTURE</t>
  </si>
  <si>
    <t>24AAQFM5449P1ZG</t>
  </si>
  <si>
    <t>MTH</t>
  </si>
  <si>
    <t>MO : 8128859115</t>
  </si>
  <si>
    <t>info@thehimalaya.co.in</t>
  </si>
  <si>
    <t>supersales1</t>
  </si>
  <si>
    <t>210, SIDDHIVINAYAK PLAZA,
SUMMAIR CLUB ROAD,NEAR MIGCOLONY,
JAMNAGAR,GUJARAT.</t>
  </si>
  <si>
    <t>MHC</t>
  </si>
  <si>
    <t>600X600</t>
  </si>
  <si>
    <t>B125</t>
  </si>
  <si>
    <t>GREY</t>
  </si>
  <si>
    <t xml:space="preserve">JAY AMBE </t>
  </si>
  <si>
    <t>JAY AMBE INDUSTRIES</t>
  </si>
  <si>
    <t>24CQOPS4717C1ZQ</t>
  </si>
  <si>
    <t>ROOSHIL BHAI : 9879515722 / 9898423399</t>
  </si>
  <si>
    <t>E/402, 4TH FLOOR, S.G BUSINESS HUB,
BEFORE GOTA OVERBRIDGE,S.G HIGHWAY,
AHMEDABAD,GUJARAT</t>
  </si>
  <si>
    <t>24X24</t>
  </si>
  <si>
    <t>LD</t>
  </si>
  <si>
    <t>TASNEEM ENTERPRISE</t>
  </si>
  <si>
    <t>33AGOPL4228K1Z6</t>
  </si>
  <si>
    <t>HUSSAIN BHAI : 9940178652</t>
  </si>
  <si>
    <t>NO.85/7, EMBUDOSS STREET,
CHENNAI,TANIL NADU, INDIA</t>
  </si>
  <si>
    <t>1000X1000</t>
  </si>
  <si>
    <t>D400</t>
  </si>
  <si>
    <t>450X450</t>
  </si>
  <si>
    <t>450X600</t>
  </si>
  <si>
    <t>C250</t>
  </si>
  <si>
    <t>600X900</t>
  </si>
  <si>
    <t>300X300</t>
  </si>
  <si>
    <t>DEVARSH CONSTUCTION CO</t>
  </si>
  <si>
    <t>24AAGFD6419E2ZP</t>
  </si>
  <si>
    <t>MO : 9727623517 / 9998744602</t>
  </si>
  <si>
    <t>802, 8TH FLOOR, SYNERGY SPACE,
OPP. ASHKA HOSPITAL, GANDHINAGAR BYPASS.
GANDHINAGAR,GUJARAT.</t>
  </si>
  <si>
    <t>WGC</t>
  </si>
  <si>
    <t>RCS</t>
  </si>
  <si>
    <t>RUDRA ENTERPRISE</t>
  </si>
  <si>
    <t>24BOPPR1103K1ZS</t>
  </si>
  <si>
    <t>MO :7016161202</t>
  </si>
  <si>
    <t>P.NO.20/8, ADINATH PARK-01
NAGHEDI,JAMNAGAR,GUJARAT.</t>
  </si>
  <si>
    <t>MODERN POWER SERVICES</t>
  </si>
  <si>
    <t>24ACTPP7455P1ZJ</t>
  </si>
  <si>
    <t>MO : 8141748687</t>
  </si>
  <si>
    <t>314/315, 3RD FLOOR, VRAJ VALECIA,
B/H. MAHINDRA SHOW ROOM, NR. SOLA FLY
OVER BRIDGE,S.G HIGHWAY,SOLA,AHMEDABAD</t>
  </si>
  <si>
    <t>BLACK</t>
  </si>
  <si>
    <t>OM BUILDSPACE</t>
  </si>
  <si>
    <t>24AAHFO9439L1ZP</t>
  </si>
  <si>
    <t>RITESH BHAI : 9033886533</t>
  </si>
  <si>
    <t xml:space="preserve">29, DIVYAJYOT TENAMENT, B/H SHYAM FARM
NIKOL AHMEDABAD
</t>
  </si>
  <si>
    <t>900X900</t>
  </si>
  <si>
    <t>P DAS INFRASTRUCTURE PVT LTD</t>
  </si>
  <si>
    <t>24AALCP9752A1ZD</t>
  </si>
  <si>
    <t>MO : 9925163598</t>
  </si>
  <si>
    <t>BLOACK-A, 5TH FLOOR,503 TO 532,
KALP INDUSTRIAL PARK, NR. KIA SHOWROOM,
S.P. RING ROAD,AHMEDABAD,GUJARAT.</t>
  </si>
  <si>
    <t>1200X1200</t>
  </si>
  <si>
    <t>1800X1800</t>
  </si>
  <si>
    <t>SAGAR CONSTRUCTION</t>
  </si>
  <si>
    <t>24AQCPB2709H2ZE</t>
  </si>
  <si>
    <t>MO : 7405665789</t>
  </si>
  <si>
    <t>PLOT NO.07, OFFICE NO.03, MADHAV BAUG-05,
RAJKOT-KHAMBHALIA BYPASS ROAD,
JAMNAGAR,GUJARAT</t>
  </si>
  <si>
    <t>RED</t>
  </si>
  <si>
    <t>A. SHRIDHAR CORPORATE HOUSE,</t>
  </si>
  <si>
    <t>SHILAJ INFRABUILD LLP</t>
  </si>
  <si>
    <t>24AEBFS0362N1ZF</t>
  </si>
  <si>
    <t>MO : 9824324399</t>
  </si>
  <si>
    <t>SHILAJ CROSS ROAD,AHMEDABAD,GUJARAT</t>
  </si>
  <si>
    <t>28X28</t>
  </si>
  <si>
    <t>ELD</t>
  </si>
  <si>
    <t>A.SHRIDHAR CONSTRUCTION PVT LTD</t>
  </si>
  <si>
    <t>24AAFCS0114D2Z3</t>
  </si>
  <si>
    <t>MO : 7878715808</t>
  </si>
  <si>
    <t>2/D, 2ND FLOOR, RIVE VIEW FLATS,
ASHRAM ROAD,AHMEDABAD,GUJARAT
MO : 9274472494</t>
  </si>
  <si>
    <t>RAINBIRDS BUILDCON LLP</t>
  </si>
  <si>
    <t>24ABDFR6849L1ZO</t>
  </si>
  <si>
    <t>MO :7698719294</t>
  </si>
  <si>
    <t>1, A SHRIDHAR CORPORATE HOUSE,
NR. KAVERI SANGAM, S.P. RING ROAD,
SHILAJ,AHMEDABAD
MO :7698719294</t>
  </si>
  <si>
    <t>SHREE CORPORATION</t>
  </si>
  <si>
    <t>24ACUFS3187N1Z7</t>
  </si>
  <si>
    <t>MO : 9924237728</t>
  </si>
  <si>
    <t>SHREE RAM INDUSTRIAL PARK-4,
SURVEY NO.247, OPP. SHREE RAM INDUSTRIAL
PARK-03, NE. MANUBHAI NA KUVA NR. VASHALI,
SHAHWADI,NAROL,AHMEDABAD,GUJARAT.</t>
  </si>
  <si>
    <t>NORTHSIDE PROPERTIES</t>
  </si>
  <si>
    <t>24AASFN5600K1Z2</t>
  </si>
  <si>
    <t>MO : 9099336388 / 7575870400</t>
  </si>
  <si>
    <t>RE.SURVEY NO.409/B, F.P. NO.109,
T.P. 409/B,VIVAAN ESSENCE,B/H. SANGATH PROMINECE,
S.P. RING ROAD,ZUNDAL,GANDHINAGAR.</t>
  </si>
  <si>
    <t>A SHRIDHAR GROUP</t>
  </si>
  <si>
    <t>24AAFCS0114BRZ3</t>
  </si>
  <si>
    <t>18X18</t>
  </si>
  <si>
    <t>1, A. SHRIDHAR CORPORATE HOUSE,</t>
  </si>
  <si>
    <t>SUNBIRDS INFRABUILD LLP</t>
  </si>
  <si>
    <t>24AEMFS7836J1ZF</t>
  </si>
  <si>
    <t>MO : 9727744179</t>
  </si>
  <si>
    <t>NR. KAVERI SANGAM,S.P. RING ROAD,
SHILAJ,AHMEDABAD,GUJARAT.
MO : 9998041005 / 8735006764</t>
  </si>
  <si>
    <t>12X12</t>
  </si>
  <si>
    <t>30X30</t>
  </si>
  <si>
    <t>MECHWELD INFRACON PVT LTD</t>
  </si>
  <si>
    <t>24AAQCM0259C1ZN</t>
  </si>
  <si>
    <t>MO : 9737470430</t>
  </si>
  <si>
    <t>4TH FLOOR, 27, ALANKAR TOWER,
OPP. M.S UNIVERSITY,VADODARA,
GUJARAT
MO : 9737470430</t>
  </si>
  <si>
    <t>750X750</t>
  </si>
  <si>
    <t>1200X600</t>
  </si>
  <si>
    <t>JAY AMBE ENTERPRISE</t>
  </si>
  <si>
    <t>24BQTPS9488Q1Z7</t>
  </si>
  <si>
    <t>mo:91 98984 23399</t>
  </si>
  <si>
    <t>E/402 4TH FLOOR
S.G BUSINESS HUB
BEFORE GOTA OVERBRIDGER
AHMEDABAD</t>
  </si>
  <si>
    <t>450X450X32</t>
  </si>
  <si>
    <t>TRIPURBUILDERS</t>
  </si>
  <si>
    <t>24AACFT6402F1ZL</t>
  </si>
  <si>
    <t>MO : 9537367186</t>
  </si>
  <si>
    <t xml:space="preserve">T-08, RAJANISMURTI CO.OP.HSG.SOC.
NR. ATIRA POLYTECHNIC,AMBAWADI,AHMEDABAD,GUJARAT
</t>
  </si>
  <si>
    <t>12x12</t>
  </si>
  <si>
    <t>28x28</t>
  </si>
  <si>
    <t>PARSHWA TRADERS</t>
  </si>
  <si>
    <t>24BEXPS8161L1ZI</t>
  </si>
  <si>
    <t>MO : 8141226663</t>
  </si>
  <si>
    <t>15, NAVRANG PARK SOCIETY,
BHAIRVNATH CHAR RASTA,MANINAGAR,
AHMEDABAD,GUJARAT</t>
  </si>
  <si>
    <t>600X450</t>
  </si>
  <si>
    <t>SIDDHIVINAYAK CONSTRUCTION</t>
  </si>
  <si>
    <t>24ACZPT5233H1Z2</t>
  </si>
  <si>
    <t>MO : 8128290150</t>
  </si>
  <si>
    <t>SHOP NO.12, MAIN PART-A, GROUND FLOOR,
SHEET NO.01, INDRAPRASTHA, PANCHESWAR TOWER
ROAD,JAMNAGAR,GUJARAT</t>
  </si>
  <si>
    <t>ONGC</t>
  </si>
  <si>
    <t>ASIAN CORPORATION</t>
  </si>
  <si>
    <t>29AABFA6477E1ZE</t>
  </si>
  <si>
    <t>MO:+91 99860 58518</t>
  </si>
  <si>
    <t>NO 86 NR ROAD
CITY MARKET BENGALURU URBAN</t>
  </si>
  <si>
    <t>MAHALAXMI CORPORATION</t>
  </si>
  <si>
    <t>24AOVPP1771L1Z9</t>
  </si>
  <si>
    <t>HITESH BHAI : 7575876516</t>
  </si>
  <si>
    <t>B-8, DRIVE IN ROAD, BALAJI CENTRE,
OPP. GURUKUL,MEMNAGAR,AHMEDABAD</t>
  </si>
  <si>
    <t>VIJYA INFRA PROJECT PVT LTD</t>
  </si>
  <si>
    <t>27AACCV4286A1ZF</t>
  </si>
  <si>
    <t>MO : 9106712188</t>
  </si>
  <si>
    <t>GALA NO.111, FIRST FLOOR,
SAMJI SAMJI INDUSTRIAL ESTATE,
L.B.S. MARG,VIKHROLI-WEST,MUMBAI,
MAHARASHTRA</t>
  </si>
  <si>
    <t>A.SHRIDHAR INFRACON LLP</t>
  </si>
  <si>
    <t>24AAVFA1502C1Z0</t>
  </si>
  <si>
    <t>MO : 9158044419</t>
  </si>
  <si>
    <t>A. SHRIDHAR COPORATE HOUSE,
NEAR KAVERI SANGAM, SHILAJ CIRCLE,
S.P. RING ROAD,SHILAJ,AHMEDABAD.
MO : 9274472494</t>
  </si>
  <si>
    <t>600X260</t>
  </si>
  <si>
    <t>15X15</t>
  </si>
  <si>
    <t>21X21</t>
  </si>
  <si>
    <t>36X36</t>
  </si>
  <si>
    <t>RATNANJALI SKYLINE LLP</t>
  </si>
  <si>
    <t>24ABEFR4552M1ZX</t>
  </si>
  <si>
    <t>MO : 9558220040</t>
  </si>
  <si>
    <t>201&amp;202, SECOND FLOOR,
RATNANJALI SQUARE, PRAHLADNAGAR ROAD,
NR. GLORIA RESTAURANT,AHMEDABAD,GUJARAT</t>
  </si>
  <si>
    <t>IVORY</t>
  </si>
  <si>
    <t>BRICKSTONE CONSTRUCTION</t>
  </si>
  <si>
    <t>24COEPP3003G1ZE</t>
  </si>
  <si>
    <t>84888 11670</t>
  </si>
  <si>
    <t>60,MANDAKINI SOCIETY
K K  NAGAR CHAR RASTA
AHMEDABAD</t>
  </si>
  <si>
    <t>A.SHRIDHAR CORPORATE HOUSE,NEAR</t>
  </si>
  <si>
    <t>NARENDRA BHAI : 9099933871
ACCOUNT : 9313804243</t>
  </si>
  <si>
    <t xml:space="preserve">KAVERI SANGAM, SHILAJ CIRCLE, S.P RING ROAD,
SHILAJ,AHMEDABAD
</t>
  </si>
  <si>
    <t>PSP PROJECTS LIMITED</t>
  </si>
  <si>
    <t>24AAECP7961L1ZY</t>
  </si>
  <si>
    <t>MO : 79 26936200 / 79 26936500 / 8347144709</t>
  </si>
  <si>
    <t>PSP HOUSE, OPP. CELESTA COURTYARD,
OPP. LANE OF VIKRAMNAGAR COLONY,ISCON-
AMBLI ROAD,AHMEDABAD,GUJARAT</t>
  </si>
  <si>
    <t>P.GREEN</t>
  </si>
  <si>
    <t>PSP PROJECTS &amp; PROACTIVE CONSTRUCTIONS PVT LTD</t>
  </si>
  <si>
    <t>24AAICP4329C1ZP</t>
  </si>
  <si>
    <t>MO : 7926936200,9033248817</t>
  </si>
  <si>
    <t xml:space="preserve">PSP, HOUSE, 4TH FLOOE, OPP. CELESTA COURTYARD,
OPP. LANE OF VIKRAMNAGAR COLONY, ISCON
AMBLI ROAD,AHMEDABAD,AHMEDABAD
</t>
  </si>
  <si>
    <t>SCAC CONSTRUCTION</t>
  </si>
  <si>
    <t>24ADQFS6225E1ZZ</t>
  </si>
  <si>
    <t>MO : 9106474296</t>
  </si>
  <si>
    <t xml:space="preserve">B/H MEHUL CINEMA MAYUR PARK
PLOT NO 57 JAMNAGAR
</t>
  </si>
  <si>
    <t>GREEN</t>
  </si>
  <si>
    <t>PRATHAM ENTERPRISE</t>
  </si>
  <si>
    <t>24BENPS2468J1ZY</t>
  </si>
  <si>
    <t>M - 9429505020</t>
  </si>
  <si>
    <t>GROUND FLOOR 220 SOMNATH SOCIETY
SHANIDEV TEMLE NR SOSYO CIRCLE UMA ROAD
SURAT - 395007</t>
  </si>
  <si>
    <t>RAMYA PROJECTS PVT LTD</t>
  </si>
  <si>
    <t>24AAPCR1499A1ZB</t>
  </si>
  <si>
    <t>MO : 8734824054 /  9712505753</t>
  </si>
  <si>
    <t>305, MAUYANSH ELANZA,
SHYAMAL CROSS ROAD,AHMEDABAD,
GUJARAT</t>
  </si>
  <si>
    <t>1500X1500</t>
  </si>
  <si>
    <t>FAKHRI ENTERPRISE</t>
  </si>
  <si>
    <t>24AAFFF1350H1ZV</t>
  </si>
  <si>
    <t>MO : 9033224617</t>
  </si>
  <si>
    <t>F-40, GROUND FLOOR, CITY CENTER,
IDGAH CIRCLE, PREM DARWAJA ROAD,
AHMEDABAD,GUJARAT</t>
  </si>
  <si>
    <t>AARUSHI ASSOCITES</t>
  </si>
  <si>
    <t>24ABUFA7123M1Z1</t>
  </si>
  <si>
    <t>MO : 7984257085</t>
  </si>
  <si>
    <t>SHOP NO.1,2, GROUND FLOOR,
CIRCULAR ROAD,ADALAJ,SWAGAT CITY MALL,
ADALAJ,GANDHINAGAR</t>
  </si>
  <si>
    <t>MIDAS INFRACON PRIVATE LIMITED</t>
  </si>
  <si>
    <t>24AATCM5478J1ZQ</t>
  </si>
  <si>
    <t>MO: +91 78741 4009</t>
  </si>
  <si>
    <t>Office No 8,FIRST FLOOR
MADAV AVENUE,NEW RS NO 119
MOTI KHAVDI,OPP HOTEL LOARD
JAMNAGAR</t>
  </si>
  <si>
    <t>300X700</t>
  </si>
  <si>
    <t>BHUMI INFRATECH</t>
  </si>
  <si>
    <t>24AAMFB4972E1ZG</t>
  </si>
  <si>
    <t>MO : 8530027507</t>
  </si>
  <si>
    <t>202, SECOND OPAL-2, OPP. SBI UMRI BRANCH ,
AKOTA,VADODARA,GUJARAT
MO : 8530027507</t>
  </si>
  <si>
    <t>300x700</t>
  </si>
  <si>
    <t>Grey</t>
  </si>
  <si>
    <t>ACE INFRACON PRODUCTS</t>
  </si>
  <si>
    <t>24AAWFA1392H1Z9</t>
  </si>
  <si>
    <t>Mo:+91 9979887451</t>
  </si>
  <si>
    <t>B 1101,ELEVANTHA CORPORATE PARK
SOLIAIRE CORPORATE PARK
NEXT TO DIVYA BHASKAR
AHMEDABAD</t>
  </si>
  <si>
    <t>KHODIYAR FABRICATOR</t>
  </si>
  <si>
    <t>24DQNPS3345Q1ZZ</t>
  </si>
  <si>
    <t xml:space="preserve">KAILASH APPARTMENT, STREET NO.03,
GOKULNAGAR RADAR ROAD,JAMNAGAR,
GUJARAT
</t>
  </si>
  <si>
    <t>AUM CERAMICS</t>
  </si>
  <si>
    <t>24AATFA3720A1ZY</t>
  </si>
  <si>
    <t>MO : 9898541581 / 9374540753</t>
  </si>
  <si>
    <t>57, FIRST FLOOR, MANAGMENT ENCLAVE,
NEHRU PARK ROAD,VASTRAPUR,AHMEDABAD,
GUJARAT.</t>
  </si>
  <si>
    <t>1200X900</t>
  </si>
  <si>
    <t>900X600</t>
  </si>
  <si>
    <t>900MM</t>
  </si>
  <si>
    <t>RELIANCE INDUSTRIES LTD.</t>
  </si>
  <si>
    <t>24AAACR5055K1ZD</t>
  </si>
  <si>
    <t>MO : 8866281755</t>
  </si>
  <si>
    <t>PO, MOTIKHAVDI, MEGHPAR PADANA GAGVA,
JAMNAGAR,GUJARAT.361140.</t>
  </si>
  <si>
    <t>900x900</t>
  </si>
  <si>
    <t>S.M ENTERPRISE</t>
  </si>
  <si>
    <t>24CJOPB2127A1ZX</t>
  </si>
  <si>
    <t>HUJAIFA BHAI :  80000 75806</t>
  </si>
  <si>
    <t>A/9, MANAN COMPLEX,
OPP. SILICON CITY, SAIYEDWADI,
VATVA,AHMEDABAD,GUJARAT</t>
  </si>
  <si>
    <t>A SHREEDHAR CORPORATE HOUSE</t>
  </si>
  <si>
    <t>24AEVFS0362N1ZF</t>
  </si>
  <si>
    <t>MO- 9824054368</t>
  </si>
  <si>
    <t>NEAR KAVERI SANGAM, SHILAJ CIRCLE
S.P. RING ROAD, SHILAJ
AHMEDABAD- 380059</t>
  </si>
  <si>
    <t>30x30</t>
  </si>
  <si>
    <t>BALMUKUND ENTERPRISE</t>
  </si>
  <si>
    <t>24BSUPS1659C2ZD</t>
  </si>
  <si>
    <t>MO : 7778999998 / 9016199919</t>
  </si>
  <si>
    <t>1/A,B, 1ST FLOOR,
VRAJ SHOPPING CENTER,SARASWATI PARK,
RANJITSAGAR ROAD,JAMNAGAR,GUJARAT.</t>
  </si>
  <si>
    <t>MEET ENTERPRISE</t>
  </si>
  <si>
    <t>24BAJPK2589L1Z8</t>
  </si>
  <si>
    <t>MO : 9662543064</t>
  </si>
  <si>
    <t>SHOP NO.34, BUILDING NO.B, GROUND FLOOR,
SHIVAN AVENUE APPARTMENT, DABHOLI LINK
ROAD,SURAT,GUJARAT</t>
  </si>
  <si>
    <t>GRAY</t>
  </si>
  <si>
    <t>GOODWIL ENGINEERING CO.</t>
  </si>
  <si>
    <t>33DQPPS7239H1Z8</t>
  </si>
  <si>
    <t>MO :7458813024</t>
  </si>
  <si>
    <t>48/88, IYYAPPA CHETTY STREET,
CHENNAI,TAMILNADU,INDIA</t>
  </si>
  <si>
    <t>4TH FLOOR, 27, ALANKAR TOWER,
OPP. M.S UNIVERSITY,VADODARA,
GUJARAT</t>
  </si>
  <si>
    <t>M.P BABARIYA</t>
  </si>
  <si>
    <t>24ABPFM0620C1ZR</t>
  </si>
  <si>
    <t>MO : 9131498218
OFFICE : 9898486134</t>
  </si>
  <si>
    <t>OFFICE NO.1101 TO 1105, 11TH FLOOR,
SARTHANA BUSINESS HUB,SARTHANA JAKATNAKA,
NEAR EAJHANS SWAPNA,SARTHANA,SURAT,
GUJARAT</t>
  </si>
  <si>
    <t>PARMI SALES</t>
  </si>
  <si>
    <t>24AAMPZ8635Q1ZI</t>
  </si>
  <si>
    <t>MO : 9824538982</t>
  </si>
  <si>
    <t>PLOT NO.10, GROUND FLOOR,SURYODAY ROW HOUSE
B/H. SUVIDHA ROW HOUSE, SIMADA VILLAGE,
SURAT</t>
  </si>
  <si>
    <t>NEST INFRACON</t>
  </si>
  <si>
    <t>24AAVFN8796K1Z4</t>
  </si>
  <si>
    <t>MO : 8141010400</t>
  </si>
  <si>
    <t>OFFICE NO-113, FIRST FLOOR,
GOKUL COMPLES, MAIN ROAD,KHAMBHALIA,
JODHPUR GATE,DEVBHUMI DWARKA,GUJARAT</t>
  </si>
  <si>
    <t>EBONY RESIDENCY LLP</t>
  </si>
  <si>
    <t>24AAMFE6090J1Z5</t>
  </si>
  <si>
    <t>MO : 9909950110</t>
  </si>
  <si>
    <t>449/2/2AND 3, OFF. S.G ROAD,
APEX HEART INSTITUE,AHMEDABAD,
GUJARAT</t>
  </si>
  <si>
    <t>600x600</t>
  </si>
  <si>
    <t>VASTU NIRMAN BUILDCON</t>
  </si>
  <si>
    <t>24AAPFV9784M1Z0</t>
  </si>
  <si>
    <t>MO : 9898730533</t>
  </si>
  <si>
    <t>A-404, VRUNDAVAN HOMES, PDPU ROAD,
VINAYAK FLORA,GANDHINAGAR,GUJARAT</t>
  </si>
  <si>
    <t>385X700</t>
  </si>
  <si>
    <t>DEVARSH CONSTRUCTION CO.</t>
  </si>
  <si>
    <t>AARUSHI AASOCIATES</t>
  </si>
  <si>
    <t>18X24</t>
  </si>
  <si>
    <t>K.H CONSTRUCTION</t>
  </si>
  <si>
    <t>24AONPP1585L1ZD</t>
  </si>
  <si>
    <t>MO : 7878788600</t>
  </si>
  <si>
    <t>7, GROUND FLOOR, NOOR NAGAR VIBHAG-3,
B/H. GOLDEN CINEMA, NR.SAIBABA SOCIETY,
VATVA,AHMEDABAD.</t>
  </si>
  <si>
    <t>gray</t>
  </si>
  <si>
    <t>B/H MEHUL CINEMA MAYUR PARK
PLOT NO 57 JAMNAGAR</t>
  </si>
  <si>
    <t>02.07.26</t>
  </si>
  <si>
    <t>600x900</t>
  </si>
  <si>
    <t>red</t>
  </si>
  <si>
    <t>07.07.26</t>
  </si>
  <si>
    <t>08.07.26</t>
  </si>
  <si>
    <t>450x1000</t>
  </si>
  <si>
    <t>SHREE SUNDAR EARTHMOVERS</t>
  </si>
  <si>
    <t>24BMDPC0456J1ZF</t>
  </si>
  <si>
    <t>MO : 8200276027</t>
  </si>
  <si>
    <t>1, NAVANIYA,PADANA,LALPUR,
JAMNAGAR,GUJARAT</t>
  </si>
  <si>
    <t>13.07.26</t>
  </si>
  <si>
    <t>450x600</t>
  </si>
  <si>
    <t>P.DAS INFRASTRUCTURE PVT LTD</t>
  </si>
  <si>
    <t>MO : 9913743705</t>
  </si>
  <si>
    <t>BLOACK-A, 5TH FLOOR,503 TO 532,
KALP INDUSTRIAL PARK, NR. KIA SHOWROOM,
S.P. RING ROAD,AHMEDABAD,GUJARAT.
MO : 9925163598</t>
  </si>
  <si>
    <t>SOMNATH ENTERPRISE</t>
  </si>
  <si>
    <t>24AAZFS4487L1Z5</t>
  </si>
  <si>
    <t>MO : 7567964277</t>
  </si>
  <si>
    <t>EF-803A, ALFA PLUS COMPLEX,
NR. RAIYA TELEPHONE EXCHANGE,150 FEET
RING ROAD,RAJKOT,GUJARAT</t>
  </si>
  <si>
    <t>17-0702026</t>
  </si>
  <si>
    <t>SUPER SHALIGRAM LLP</t>
  </si>
  <si>
    <t>24AEQFS0960P1ZC</t>
  </si>
  <si>
    <t>MO : 8000447300</t>
  </si>
  <si>
    <t>9TH FLOOR, SHALIGRAM CORPORATE HOUSE,
B/H DISHMAN HOUSE, OPP. SANKALP GRACE-Ii, C-J
ROAD,AMBLI BOPAL,AHMEDABAD,GUJARAT</t>
  </si>
  <si>
    <t>600X600X32</t>
  </si>
  <si>
    <t>LARSEN &amp; TOUBRO LTD</t>
  </si>
  <si>
    <t>24AAACL0140P7ZJ</t>
  </si>
  <si>
    <t>1, LARSEN AND TOUBRO LIMITED,
WEST BLOCK-03, L &amp; T KNOWLEDGE CITY
NH NO 08, VADODARA GUJARAT</t>
  </si>
  <si>
    <t>1200x1200</t>
  </si>
  <si>
    <t>1200x900</t>
  </si>
  <si>
    <t>SHREYA CONSTRUCTION</t>
  </si>
  <si>
    <t>24BZLPS5201G1ZF</t>
  </si>
  <si>
    <t>MO:98989 65003</t>
  </si>
  <si>
    <t>SHOP NO 3 GROUND FLOOR
LIBERTY PARK SUB PLOT NO 8/1 A
KANSUMARA,BEHIND NAYARA PETROL PUMP
JAMNAGAR</t>
  </si>
  <si>
    <t>900mm</t>
  </si>
  <si>
    <t>WHITE</t>
  </si>
  <si>
    <t>SUVIDHA CONSTRUCTION</t>
  </si>
  <si>
    <t>24ACPFS0880F1ZZ</t>
  </si>
  <si>
    <t>MO : 8320563752</t>
  </si>
  <si>
    <t>VILLAGE AT SARAYA, TANKARA,
MORBI,GUJARAT</t>
  </si>
  <si>
    <t>UNION RESIDENCY CO-OPP. HOUSING SERVICES SOCIETY LTD</t>
  </si>
  <si>
    <t>VESU,SURAT,GUJARAT</t>
  </si>
  <si>
    <t>27.07.26</t>
  </si>
  <si>
    <t>VINAYAK INFRACON</t>
  </si>
  <si>
    <t>24AAVFV8350K1ZE</t>
  </si>
  <si>
    <t>MO : 7600820489</t>
  </si>
  <si>
    <t>704, 7TH FLOOR, DREAMRISE,
SCIENCE CITY ROAD,NEAR HETARTH PARTY PLOT,SCIENCE CITY ROAD,AHMEDABAD,GUJARAT</t>
  </si>
  <si>
    <t>24x24</t>
  </si>
  <si>
    <t>28.07.26</t>
  </si>
  <si>
    <t>15x15</t>
  </si>
  <si>
    <t>MATRUKRUPA ENTERPRISE</t>
  </si>
  <si>
    <t>24BXMPS4485F1Z0</t>
  </si>
  <si>
    <t>MO :8160654832</t>
  </si>
  <si>
    <t>PLOT NO.50, PHASE Ii,
DARED BY PASS ROAD,JAMNAGAR,GUJARAT</t>
  </si>
  <si>
    <t>TRIMURTI HOSPITAL TRUST</t>
  </si>
  <si>
    <t>MO : 787815808</t>
  </si>
  <si>
    <t>NATIONAL HIGHWAY NO.08/A, NR. RAMDEVPIR MANDIR,
BAVLA,AHMEDABAD,GUJARAT</t>
  </si>
  <si>
    <t>03.08.26</t>
  </si>
  <si>
    <t>Black</t>
  </si>
  <si>
    <t>3T</t>
  </si>
  <si>
    <t>ADITI ECO VISION PROJECT LLP</t>
  </si>
  <si>
    <t>24ACJFA0628B1Z1</t>
  </si>
  <si>
    <t>MO : 9687554446</t>
  </si>
  <si>
    <t>SHOP NO-408, SUVAS SCALA,
NR. SUVASSCASPIA,AHMEDABAD,GUJARAT</t>
  </si>
  <si>
    <t>MPS INFRATECH</t>
  </si>
  <si>
    <t>GHANSHYAM BHAI</t>
  </si>
  <si>
    <t>MAHESHWARI ENT</t>
  </si>
  <si>
    <t>SIDDHI VINAYAK CONSTRUCTION</t>
  </si>
  <si>
    <t>900X1200</t>
  </si>
  <si>
    <t>450X1200</t>
  </si>
  <si>
    <t>AVADH PROJECTS(SAMPLE)</t>
  </si>
  <si>
    <t>300x300</t>
  </si>
  <si>
    <t>450x450</t>
  </si>
  <si>
    <t>VARDA INFRA PVT LTD</t>
  </si>
  <si>
    <t>PROTEC INFRAPROJETCS PVT LTD</t>
  </si>
  <si>
    <t>NATUBHAI R.BHATU</t>
  </si>
  <si>
    <t>PRASHANT N BHATU</t>
  </si>
  <si>
    <t>PRANAMI CONSTRUCTION</t>
  </si>
  <si>
    <t>DEVRAJ INFRASTRUCTURE</t>
  </si>
  <si>
    <t>30T</t>
  </si>
  <si>
    <t>BLUE</t>
  </si>
  <si>
    <t>RUDRA INFRA</t>
  </si>
  <si>
    <t>RATNANJALI GROUP</t>
  </si>
  <si>
    <t>SAMPLE</t>
  </si>
  <si>
    <t>VYOM BUILDOCN</t>
  </si>
  <si>
    <t>VYOM BUILDOCN PVT LTD</t>
  </si>
  <si>
    <t>ANANTARA ABODE CO OP HOUSING SERVICE SOCIETY LIMITED</t>
  </si>
  <si>
    <t>MONA ENTERPRISE</t>
  </si>
  <si>
    <t>JAY AMBE</t>
  </si>
  <si>
    <t>E600</t>
  </si>
  <si>
    <t>MONA ENTERPRISES</t>
  </si>
  <si>
    <t>1800X1200</t>
  </si>
  <si>
    <t>RRB PROJECTS PRIVATE LIMITED</t>
  </si>
  <si>
    <t>ARCHIT CORPORATION</t>
  </si>
  <si>
    <t>SM ENTERPRISES</t>
  </si>
  <si>
    <t>PSP PROJECTS LTD</t>
  </si>
  <si>
    <t>PSP PROJECT REPLACEMENT</t>
  </si>
  <si>
    <t>F900</t>
  </si>
  <si>
    <t>KISHAN AGRO SERVICES</t>
  </si>
  <si>
    <t>TASNEEM ENTERPRISES</t>
  </si>
  <si>
    <t>HUSSAIN BHAI</t>
  </si>
  <si>
    <t>NA</t>
  </si>
  <si>
    <t>TAMIL NADU</t>
  </si>
  <si>
    <t>CHENNAI</t>
  </si>
  <si>
    <t>ACE INFRACON</t>
  </si>
  <si>
    <t>D MHC</t>
  </si>
  <si>
    <t>PROTEC INFRAPROJECTS PVT LTD</t>
  </si>
  <si>
    <t>P DAS INFRASTRUCTURE</t>
  </si>
  <si>
    <t>ZAVERI REALTY</t>
  </si>
  <si>
    <t>FACTORY REATILS</t>
  </si>
  <si>
    <t>690X990</t>
  </si>
  <si>
    <t>SANDSTONE</t>
  </si>
  <si>
    <t>10X10</t>
  </si>
  <si>
    <t>TRIMUTI HOSPITAL</t>
  </si>
  <si>
    <t>MECHWELD INFRACOM</t>
  </si>
  <si>
    <t>SOHAL DALAL</t>
  </si>
  <si>
    <t>410X1000X35MM</t>
  </si>
  <si>
    <t>A SHRIDHAR</t>
  </si>
  <si>
    <t>AASHIL SHAH</t>
  </si>
  <si>
    <t>SITE</t>
  </si>
  <si>
    <t>B/H MEHUL CINEMA MAYUR PARKPLOT NO 57 JAMNAGAR</t>
  </si>
  <si>
    <t>GUJARAT</t>
  </si>
  <si>
    <t>JAMNAGAR</t>
  </si>
  <si>
    <t>URD</t>
  </si>
  <si>
    <t>SELF</t>
  </si>
  <si>
    <t>AHMEDABAD</t>
  </si>
  <si>
    <t>PARMI</t>
  </si>
  <si>
    <t>PLOT NO.10, GROUND FLOOR,SURYODAY ROW HOUSEB/H. SUVIDHA ROW HOUSE, SIMADA VILLAGE,SURAT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</si>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</sst>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b/>
      <i/>
      <sz val="12"/>
      <color theme="1" tint="4.9989318521683403E-2"/>
      <name val="Calibri"/>
      <charset val="134"/>
    </font>
    <font>
      <sz val="11"/>
      <color theme="1" tint="4.9989318521683403E-2"/>
      <name val="Arial"/>
      <charset val="134"/>
    </font>
    <font>
      <sz val="11"/>
      <color theme="1" tint="4.9989318521683403E-2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 tint="4.9989318521683403E-2"/>
      <name val="Roboto"/>
      <charset val="134"/>
    </font>
    <font>
      <sz val="12"/>
      <color theme="1" tint="4.9989318521683403E-2"/>
      <name val="Roboto"/>
      <charset val="134"/>
    </font>
    <font>
      <sz val="11"/>
      <color theme="1"/>
      <name val="Arial"/>
      <charset val="134"/>
    </font>
    <font>
      <sz val="11"/>
      <color rgb="FF444D5F"/>
      <name val="Roboto"/>
      <charset val="134"/>
    </font>
    <font>
      <sz val="11"/>
      <color rgb="FF3A367A"/>
      <name val="Arial"/>
      <charset val="134"/>
    </font>
    <font>
      <sz val="11"/>
      <color rgb="FF131D38"/>
      <name val="Arial"/>
      <charset val="134"/>
    </font>
    <font>
      <sz val="11"/>
      <color rgb="FF682B45"/>
      <name val="Arial"/>
      <charset val="134"/>
    </font>
    <font>
      <sz val="11"/>
      <color rgb="FF4C535E"/>
      <name val="Roboto"/>
      <charset val="134"/>
    </font>
    <font>
      <sz val="11"/>
      <color rgb="FF6A2723"/>
      <name val="Arial"/>
      <charset val="134"/>
    </font>
    <font>
      <sz val="11"/>
      <color rgb="FF751A14"/>
      <name val="Arial"/>
      <charset val="134"/>
    </font>
    <font>
      <sz val="11"/>
      <color rgb="FF363F32"/>
      <name val="Roboto"/>
      <charset val="134"/>
    </font>
    <font>
      <sz val="11"/>
      <color rgb="FF383A3C"/>
      <name val="Roboto"/>
      <charset val="134"/>
    </font>
    <font>
      <sz val="11"/>
      <color rgb="FF842E2E"/>
      <name val="Arial"/>
      <charset val="134"/>
    </font>
    <font>
      <sz val="11"/>
      <color rgb="FFE5CFF2"/>
      <name val="Arial"/>
      <charset val="134"/>
    </font>
    <font>
      <sz val="11"/>
      <color rgb="FF4B1528"/>
      <name val="Arial"/>
      <charset val="134"/>
    </font>
    <font>
      <sz val="11"/>
      <color rgb="FFFFE5A0"/>
      <name val="Arial"/>
      <charset val="134"/>
    </font>
    <font>
      <sz val="11"/>
      <color rgb="FF434343"/>
      <name val="Roboto"/>
      <charset val="134"/>
    </font>
  </fonts>
  <fills count="6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4" fillId="0" borderId="0" xfId="1"/>
    <xf numFmtId="0" fontId="3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9" fontId="0" fillId="0" borderId="0" xfId="0" applyNumberFormat="1"/>
    <xf numFmtId="2" fontId="0" fillId="0" borderId="0" xfId="0" applyNumberFormat="1"/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center" wrapText="1" readingOrder="1"/>
    </xf>
    <xf numFmtId="0" fontId="7" fillId="2" borderId="8" xfId="0" applyFont="1" applyFill="1" applyBorder="1" applyAlignment="1">
      <alignment horizontal="center" wrapText="1" readingOrder="1"/>
    </xf>
    <xf numFmtId="0" fontId="8" fillId="3" borderId="8" xfId="0" applyFont="1" applyFill="1" applyBorder="1" applyAlignment="1">
      <alignment vertical="center" wrapText="1" readingOrder="1"/>
    </xf>
    <xf numFmtId="0" fontId="7" fillId="3" borderId="9" xfId="0" applyFont="1" applyFill="1" applyBorder="1" applyAlignment="1">
      <alignment horizontal="center" wrapText="1" readingOrder="1"/>
    </xf>
    <xf numFmtId="0" fontId="9" fillId="3" borderId="9" xfId="0" applyFont="1" applyFill="1" applyBorder="1" applyAlignment="1">
      <alignment wrapText="1" readingOrder="1"/>
    </xf>
    <xf numFmtId="0" fontId="7" fillId="3" borderId="8" xfId="0" applyFont="1" applyFill="1" applyBorder="1" applyAlignment="1">
      <alignment horizontal="center" wrapText="1" readingOrder="1"/>
    </xf>
    <xf numFmtId="0" fontId="10" fillId="3" borderId="8" xfId="0" applyFont="1" applyFill="1" applyBorder="1" applyAlignment="1">
      <alignment horizontal="center" wrapText="1" readingOrder="1"/>
    </xf>
    <xf numFmtId="14" fontId="7" fillId="3" borderId="10" xfId="0" applyNumberFormat="1" applyFont="1" applyFill="1" applyBorder="1" applyAlignment="1">
      <alignment horizontal="center" wrapText="1" readingOrder="1"/>
    </xf>
    <xf numFmtId="0" fontId="7" fillId="3" borderId="10" xfId="0" applyFont="1" applyFill="1" applyBorder="1" applyAlignment="1">
      <alignment horizontal="center" wrapText="1" readingOrder="1"/>
    </xf>
    <xf numFmtId="0" fontId="8" fillId="2" borderId="10" xfId="0" applyFont="1" applyFill="1" applyBorder="1" applyAlignment="1">
      <alignment vertical="center" wrapText="1" readingOrder="1"/>
    </xf>
    <xf numFmtId="0" fontId="7" fillId="2" borderId="7" xfId="0" applyFont="1" applyFill="1" applyBorder="1" applyAlignment="1">
      <alignment horizontal="center" wrapText="1" readingOrder="1"/>
    </xf>
    <xf numFmtId="0" fontId="11" fillId="2" borderId="7" xfId="0" applyFont="1" applyFill="1" applyBorder="1" applyAlignment="1">
      <alignment wrapText="1" readingOrder="1"/>
    </xf>
    <xf numFmtId="0" fontId="7" fillId="2" borderId="10" xfId="0" applyFont="1" applyFill="1" applyBorder="1" applyAlignment="1">
      <alignment horizontal="center" wrapText="1" readingOrder="1"/>
    </xf>
    <xf numFmtId="0" fontId="10" fillId="2" borderId="10" xfId="0" applyFont="1" applyFill="1" applyBorder="1" applyAlignment="1">
      <alignment horizontal="center" wrapText="1" readingOrder="1"/>
    </xf>
    <xf numFmtId="14" fontId="7" fillId="2" borderId="10" xfId="0" applyNumberFormat="1" applyFont="1" applyFill="1" applyBorder="1" applyAlignment="1">
      <alignment horizontal="center" wrapText="1" readingOrder="1"/>
    </xf>
    <xf numFmtId="0" fontId="8" fillId="3" borderId="10" xfId="0" applyFont="1" applyFill="1" applyBorder="1" applyAlignment="1">
      <alignment vertical="center" wrapText="1" readingOrder="1"/>
    </xf>
    <xf numFmtId="0" fontId="7" fillId="3" borderId="7" xfId="0" applyFont="1" applyFill="1" applyBorder="1" applyAlignment="1">
      <alignment horizontal="center" wrapText="1" readingOrder="1"/>
    </xf>
    <xf numFmtId="0" fontId="11" fillId="3" borderId="7" xfId="0" applyFont="1" applyFill="1" applyBorder="1" applyAlignment="1">
      <alignment wrapText="1" readingOrder="1"/>
    </xf>
    <xf numFmtId="0" fontId="10" fillId="3" borderId="10" xfId="0" applyFont="1" applyFill="1" applyBorder="1" applyAlignment="1">
      <alignment horizontal="center" wrapText="1" readingOrder="1"/>
    </xf>
    <xf numFmtId="0" fontId="12" fillId="2" borderId="10" xfId="0" applyFont="1" applyFill="1" applyBorder="1" applyAlignment="1">
      <alignment vertical="center" wrapText="1" readingOrder="1"/>
    </xf>
    <xf numFmtId="0" fontId="13" fillId="2" borderId="7" xfId="0" applyFont="1" applyFill="1" applyBorder="1" applyAlignment="1">
      <alignment wrapText="1" readingOrder="1"/>
    </xf>
    <xf numFmtId="0" fontId="12" fillId="3" borderId="10" xfId="0" applyFont="1" applyFill="1" applyBorder="1" applyAlignment="1">
      <alignment vertical="center" wrapText="1" readingOrder="1"/>
    </xf>
    <xf numFmtId="0" fontId="9" fillId="3" borderId="7" xfId="0" applyFont="1" applyFill="1" applyBorder="1" applyAlignment="1">
      <alignment wrapText="1" readingOrder="1"/>
    </xf>
    <xf numFmtId="0" fontId="9" fillId="2" borderId="7" xfId="0" applyFont="1" applyFill="1" applyBorder="1" applyAlignment="1">
      <alignment wrapText="1" readingOrder="1"/>
    </xf>
    <xf numFmtId="0" fontId="14" fillId="3" borderId="7" xfId="0" applyFont="1" applyFill="1" applyBorder="1" applyAlignment="1">
      <alignment wrapText="1" readingOrder="1"/>
    </xf>
    <xf numFmtId="0" fontId="14" fillId="2" borderId="7" xfId="0" applyFont="1" applyFill="1" applyBorder="1" applyAlignment="1">
      <alignment wrapText="1" readingOrder="1"/>
    </xf>
    <xf numFmtId="0" fontId="15" fillId="3" borderId="10" xfId="0" applyFont="1" applyFill="1" applyBorder="1" applyAlignment="1">
      <alignment vertical="center" wrapText="1" readingOrder="1"/>
    </xf>
    <xf numFmtId="0" fontId="7" fillId="4" borderId="10" xfId="0" applyFont="1" applyFill="1" applyBorder="1" applyAlignment="1">
      <alignment horizontal="center" wrapText="1" readingOrder="1"/>
    </xf>
    <xf numFmtId="0" fontId="16" fillId="3" borderId="10" xfId="0" applyFont="1" applyFill="1" applyBorder="1" applyAlignment="1">
      <alignment vertical="center" wrapText="1" readingOrder="1"/>
    </xf>
    <xf numFmtId="0" fontId="17" fillId="2" borderId="7" xfId="0" applyFont="1" applyFill="1" applyBorder="1" applyAlignment="1">
      <alignment wrapText="1" readingOrder="1"/>
    </xf>
    <xf numFmtId="0" fontId="18" fillId="3" borderId="7" xfId="0" applyFont="1" applyFill="1" applyBorder="1" applyAlignment="1">
      <alignment wrapText="1" readingOrder="1"/>
    </xf>
    <xf numFmtId="0" fontId="0" fillId="2" borderId="10" xfId="0" applyFill="1" applyBorder="1" applyAlignment="1">
      <alignment wrapText="1" readingOrder="1"/>
    </xf>
    <xf numFmtId="0" fontId="0" fillId="3" borderId="10" xfId="0" applyFill="1" applyBorder="1" applyAlignment="1">
      <alignment wrapText="1" readingOrder="1"/>
    </xf>
    <xf numFmtId="0" fontId="17" fillId="3" borderId="7" xfId="0" applyFont="1" applyFill="1" applyBorder="1" applyAlignment="1">
      <alignment wrapText="1" readingOrder="1"/>
    </xf>
    <xf numFmtId="0" fontId="19" fillId="3" borderId="7" xfId="0" applyFont="1" applyFill="1" applyBorder="1" applyAlignment="1">
      <alignment wrapText="1" readingOrder="1"/>
    </xf>
    <xf numFmtId="0" fontId="16" fillId="2" borderId="10" xfId="0" applyFont="1" applyFill="1" applyBorder="1" applyAlignment="1">
      <alignment vertical="center" wrapText="1" readingOrder="1"/>
    </xf>
    <xf numFmtId="0" fontId="19" fillId="2" borderId="7" xfId="0" applyFont="1" applyFill="1" applyBorder="1" applyAlignment="1">
      <alignment wrapText="1" readingOrder="1"/>
    </xf>
    <xf numFmtId="0" fontId="0" fillId="2" borderId="10" xfId="0" applyFill="1" applyBorder="1" applyAlignment="1">
      <alignment vertical="center" wrapText="1" readingOrder="1"/>
    </xf>
    <xf numFmtId="0" fontId="0" fillId="2" borderId="7" xfId="0" applyFill="1" applyBorder="1" applyAlignment="1">
      <alignment wrapText="1" readingOrder="1"/>
    </xf>
    <xf numFmtId="0" fontId="20" fillId="3" borderId="7" xfId="0" applyFont="1" applyFill="1" applyBorder="1" applyAlignment="1">
      <alignment wrapText="1" readingOrder="1"/>
    </xf>
    <xf numFmtId="14" fontId="0" fillId="3" borderId="10" xfId="0" applyNumberFormat="1" applyFill="1" applyBorder="1" applyAlignment="1">
      <alignment wrapText="1" readingOrder="1"/>
    </xf>
    <xf numFmtId="0" fontId="0" fillId="0" borderId="0" xfId="0" applyAlignment="1">
      <alignment wrapText="1"/>
    </xf>
    <xf numFmtId="0" fontId="21" fillId="3" borderId="10" xfId="0" applyFont="1" applyFill="1" applyBorder="1" applyAlignment="1">
      <alignment vertical="center" wrapText="1" readingOrder="1"/>
    </xf>
    <xf numFmtId="0" fontId="13" fillId="3" borderId="7" xfId="0" applyFont="1" applyFill="1" applyBorder="1" applyAlignment="1">
      <alignment wrapText="1" readingOrder="1"/>
    </xf>
    <xf numFmtId="0" fontId="7" fillId="5" borderId="10" xfId="0" applyFont="1" applyFill="1" applyBorder="1" applyAlignment="1">
      <alignment horizontal="center" wrapText="1" readingOrder="1"/>
    </xf>
    <xf numFmtId="0" fontId="7" fillId="3" borderId="11" xfId="0" applyFont="1" applyFill="1" applyBorder="1" applyAlignment="1">
      <alignment horizontal="center" wrapText="1" readingOrder="1"/>
    </xf>
    <xf numFmtId="0" fontId="7" fillId="3" borderId="12" xfId="0" applyFont="1" applyFill="1" applyBorder="1" applyAlignment="1">
      <alignment horizontal="center" wrapText="1" readingOrder="1"/>
    </xf>
    <xf numFmtId="0" fontId="7" fillId="3" borderId="0" xfId="0" applyFont="1" applyFill="1" applyAlignment="1">
      <alignment horizontal="center" wrapText="1" readingOrder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thehimalaya.co.in" TargetMode="External"/><Relationship Id="rId1" Type="http://schemas.openxmlformats.org/officeDocument/2006/relationships/hyperlink" Target="mailto:info@thehimalaya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4"/>
  <sheetViews>
    <sheetView tabSelected="1" topLeftCell="J1" zoomScale="130" zoomScaleNormal="130" workbookViewId="0">
      <pane ySplit="1" topLeftCell="A402" activePane="bottomLeft" state="frozen"/>
      <selection pane="bottomLeft" activeCell="S408" sqref="S408"/>
    </sheetView>
  </sheetViews>
  <sheetFormatPr defaultColWidth="29.28515625" defaultRowHeight="15"/>
  <cols>
    <col min="1" max="1" width="11.7109375" customWidth="1"/>
    <col min="2" max="2" width="24.7109375" customWidth="1"/>
    <col min="3" max="3" width="24.28515625" customWidth="1"/>
    <col min="4" max="4" width="25.28515625" customWidth="1"/>
    <col min="5" max="5" width="19.28515625" customWidth="1"/>
    <col min="6" max="6" width="11.85546875" customWidth="1"/>
    <col min="7" max="8" width="28.42578125" customWidth="1"/>
    <col min="9" max="9" width="20.7109375" customWidth="1"/>
    <col min="10" max="10" width="25.28515625" customWidth="1"/>
    <col min="11" max="11" width="14.7109375" customWidth="1"/>
    <col min="12" max="12" width="29.28515625" customWidth="1"/>
    <col min="13" max="13" width="5.140625" customWidth="1"/>
    <col min="14" max="14" width="3.85546875" customWidth="1"/>
    <col min="15" max="15" width="7.42578125" customWidth="1"/>
    <col min="16" max="16" width="10.28515625" customWidth="1"/>
    <col min="17" max="17" width="12.28515625" customWidth="1"/>
    <col min="18" max="18" width="8.140625" customWidth="1"/>
    <col min="19" max="19" width="6.42578125" customWidth="1"/>
    <col min="20" max="20" width="10" customWidth="1"/>
    <col min="21" max="21" width="10.5703125" customWidth="1"/>
    <col min="22" max="22" width="8.85546875" customWidth="1"/>
    <col min="23" max="23" width="5.7109375" customWidth="1"/>
    <col min="24" max="24" width="11.140625" customWidth="1"/>
    <col min="25" max="25" width="8.28515625" customWidth="1"/>
    <col min="26" max="26" width="10.7109375" customWidth="1"/>
  </cols>
  <sheetData>
    <row r="1" spans="1:26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62" t="s">
        <v>15</v>
      </c>
      <c r="Q1" s="63"/>
      <c r="R1" s="64"/>
      <c r="S1" s="1" t="s">
        <v>16</v>
      </c>
      <c r="T1" s="1" t="s">
        <v>17</v>
      </c>
      <c r="U1" s="1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ht="60">
      <c r="A2" s="4">
        <v>46114</v>
      </c>
      <c r="B2" s="5" t="s">
        <v>24</v>
      </c>
      <c r="C2" s="5" t="s">
        <v>24</v>
      </c>
      <c r="D2" s="5" t="s">
        <v>24</v>
      </c>
      <c r="E2" s="5" t="s">
        <v>25</v>
      </c>
      <c r="F2" s="6" t="s">
        <v>26</v>
      </c>
      <c r="G2" s="5" t="s">
        <v>27</v>
      </c>
      <c r="H2" s="5" t="s">
        <v>27</v>
      </c>
      <c r="I2" s="7" t="s">
        <v>28</v>
      </c>
      <c r="J2" s="8" t="s">
        <v>29</v>
      </c>
      <c r="K2" s="4">
        <v>46114</v>
      </c>
      <c r="L2" s="5" t="s">
        <v>30</v>
      </c>
      <c r="M2" s="8"/>
      <c r="N2" s="8"/>
      <c r="O2" s="5">
        <v>36005</v>
      </c>
      <c r="P2" s="9" t="s">
        <v>31</v>
      </c>
      <c r="Q2" s="9" t="s">
        <v>32</v>
      </c>
      <c r="R2" s="9" t="s">
        <v>33</v>
      </c>
      <c r="S2" s="9">
        <v>15</v>
      </c>
      <c r="T2" s="9" t="s">
        <v>34</v>
      </c>
      <c r="U2" s="5">
        <v>6180</v>
      </c>
      <c r="V2">
        <f>U2*S2</f>
        <v>92700</v>
      </c>
      <c r="W2" s="10">
        <v>0.18</v>
      </c>
      <c r="X2" s="11">
        <f>V2*W2</f>
        <v>16686</v>
      </c>
      <c r="Y2">
        <v>0</v>
      </c>
      <c r="Z2" s="11">
        <f>V2+X2</f>
        <v>109386</v>
      </c>
    </row>
    <row r="3" spans="1:26" ht="75">
      <c r="A3" s="4">
        <v>46114</v>
      </c>
      <c r="B3" s="5" t="s">
        <v>35</v>
      </c>
      <c r="C3" s="5" t="s">
        <v>35</v>
      </c>
      <c r="D3" s="5" t="s">
        <v>36</v>
      </c>
      <c r="E3" s="5" t="s">
        <v>37</v>
      </c>
      <c r="F3" s="6" t="s">
        <v>26</v>
      </c>
      <c r="G3" s="5" t="s">
        <v>38</v>
      </c>
      <c r="H3" s="5" t="s">
        <v>38</v>
      </c>
      <c r="I3" s="7" t="s">
        <v>28</v>
      </c>
      <c r="J3" s="8" t="s">
        <v>29</v>
      </c>
      <c r="K3" s="4">
        <v>46114</v>
      </c>
      <c r="L3" s="5" t="s">
        <v>39</v>
      </c>
      <c r="M3" s="8"/>
      <c r="N3" s="8"/>
      <c r="O3" s="5">
        <v>380060</v>
      </c>
      <c r="P3" s="9" t="s">
        <v>31</v>
      </c>
      <c r="Q3" s="9" t="s">
        <v>40</v>
      </c>
      <c r="R3" s="9" t="s">
        <v>41</v>
      </c>
      <c r="S3" s="9">
        <v>3</v>
      </c>
      <c r="T3" s="9" t="s">
        <v>34</v>
      </c>
      <c r="U3" s="5">
        <v>1995</v>
      </c>
      <c r="V3">
        <f t="shared" ref="V3:V54" si="0">U3*S3</f>
        <v>5985</v>
      </c>
      <c r="W3" s="10">
        <v>0.18</v>
      </c>
      <c r="X3" s="11">
        <f t="shared" ref="X3:X54" si="1">V3*W3</f>
        <v>1077.3</v>
      </c>
      <c r="Y3">
        <v>0</v>
      </c>
      <c r="Z3" s="11">
        <f t="shared" ref="Z3:Z54" si="2">V3+X3</f>
        <v>7062.3</v>
      </c>
    </row>
    <row r="4" spans="1:26" ht="30">
      <c r="A4" s="4">
        <v>46118</v>
      </c>
      <c r="B4" s="9" t="s">
        <v>42</v>
      </c>
      <c r="C4" s="9" t="s">
        <v>42</v>
      </c>
      <c r="D4" s="9" t="s">
        <v>42</v>
      </c>
      <c r="E4" s="5" t="s">
        <v>43</v>
      </c>
      <c r="F4" s="6" t="s">
        <v>26</v>
      </c>
      <c r="G4" s="5" t="s">
        <v>44</v>
      </c>
      <c r="H4" s="5" t="s">
        <v>44</v>
      </c>
      <c r="I4" s="7" t="s">
        <v>28</v>
      </c>
      <c r="J4" s="8" t="s">
        <v>29</v>
      </c>
      <c r="K4" s="4">
        <v>46118</v>
      </c>
      <c r="L4" s="5" t="s">
        <v>45</v>
      </c>
      <c r="M4" s="8"/>
      <c r="N4" s="8"/>
      <c r="O4" s="5">
        <v>600001</v>
      </c>
      <c r="P4" s="9" t="s">
        <v>31</v>
      </c>
      <c r="Q4" s="9" t="s">
        <v>46</v>
      </c>
      <c r="R4" s="9" t="s">
        <v>47</v>
      </c>
      <c r="S4" s="9">
        <v>1</v>
      </c>
      <c r="T4" s="9" t="s">
        <v>34</v>
      </c>
      <c r="U4" s="5">
        <v>53350</v>
      </c>
      <c r="V4">
        <f t="shared" si="0"/>
        <v>53350</v>
      </c>
      <c r="W4" s="10">
        <v>0.18</v>
      </c>
      <c r="X4" s="11">
        <f t="shared" si="1"/>
        <v>9603</v>
      </c>
      <c r="Y4">
        <v>0</v>
      </c>
      <c r="Z4" s="11">
        <f t="shared" si="2"/>
        <v>62953</v>
      </c>
    </row>
    <row r="5" spans="1:26" ht="30">
      <c r="A5" s="4">
        <v>46118</v>
      </c>
      <c r="B5" s="9" t="s">
        <v>42</v>
      </c>
      <c r="C5" s="9" t="s">
        <v>42</v>
      </c>
      <c r="D5" s="9" t="s">
        <v>42</v>
      </c>
      <c r="E5" s="5" t="s">
        <v>43</v>
      </c>
      <c r="F5" s="6" t="s">
        <v>26</v>
      </c>
      <c r="G5" s="5" t="s">
        <v>44</v>
      </c>
      <c r="H5" s="5" t="s">
        <v>44</v>
      </c>
      <c r="I5" s="7" t="s">
        <v>28</v>
      </c>
      <c r="J5" s="8" t="s">
        <v>29</v>
      </c>
      <c r="K5" s="4">
        <v>46118</v>
      </c>
      <c r="L5" s="5" t="s">
        <v>45</v>
      </c>
      <c r="M5" s="8"/>
      <c r="N5" s="8"/>
      <c r="O5" s="5">
        <v>600001</v>
      </c>
      <c r="P5" s="9" t="s">
        <v>31</v>
      </c>
      <c r="Q5" s="9" t="s">
        <v>48</v>
      </c>
      <c r="R5" s="9" t="s">
        <v>47</v>
      </c>
      <c r="S5" s="9">
        <v>1</v>
      </c>
      <c r="T5" s="9" t="s">
        <v>34</v>
      </c>
      <c r="U5" s="5">
        <v>10250</v>
      </c>
      <c r="V5">
        <f t="shared" si="0"/>
        <v>10250</v>
      </c>
      <c r="W5" s="10">
        <v>0.18</v>
      </c>
      <c r="X5" s="11">
        <f t="shared" si="1"/>
        <v>1845</v>
      </c>
      <c r="Y5">
        <v>0</v>
      </c>
      <c r="Z5" s="11">
        <f t="shared" si="2"/>
        <v>12095</v>
      </c>
    </row>
    <row r="6" spans="1:26" ht="30">
      <c r="A6" s="4">
        <v>46118</v>
      </c>
      <c r="B6" s="9" t="s">
        <v>42</v>
      </c>
      <c r="C6" s="9" t="s">
        <v>42</v>
      </c>
      <c r="D6" s="9" t="s">
        <v>42</v>
      </c>
      <c r="E6" s="5" t="s">
        <v>43</v>
      </c>
      <c r="F6" s="6" t="s">
        <v>26</v>
      </c>
      <c r="G6" s="5" t="s">
        <v>44</v>
      </c>
      <c r="H6" s="5" t="s">
        <v>44</v>
      </c>
      <c r="I6" s="7" t="s">
        <v>28</v>
      </c>
      <c r="J6" s="8" t="s">
        <v>29</v>
      </c>
      <c r="K6" s="4">
        <v>46118</v>
      </c>
      <c r="L6" s="5" t="s">
        <v>45</v>
      </c>
      <c r="M6" s="8"/>
      <c r="N6" s="8"/>
      <c r="O6" s="5">
        <v>600001</v>
      </c>
      <c r="P6" s="9" t="s">
        <v>31</v>
      </c>
      <c r="Q6" s="9" t="s">
        <v>32</v>
      </c>
      <c r="R6" s="9" t="s">
        <v>47</v>
      </c>
      <c r="S6" s="9">
        <v>6</v>
      </c>
      <c r="T6" s="9" t="s">
        <v>34</v>
      </c>
      <c r="U6" s="5">
        <v>16200</v>
      </c>
      <c r="V6">
        <f t="shared" si="0"/>
        <v>97200</v>
      </c>
      <c r="W6" s="10">
        <v>0.18</v>
      </c>
      <c r="X6" s="11">
        <f t="shared" si="1"/>
        <v>17496</v>
      </c>
      <c r="Y6">
        <v>0</v>
      </c>
      <c r="Z6" s="11">
        <f t="shared" si="2"/>
        <v>114696</v>
      </c>
    </row>
    <row r="7" spans="1:26" ht="30">
      <c r="A7" s="4">
        <v>46118</v>
      </c>
      <c r="B7" s="9" t="s">
        <v>42</v>
      </c>
      <c r="C7" s="9" t="s">
        <v>42</v>
      </c>
      <c r="D7" s="9" t="s">
        <v>42</v>
      </c>
      <c r="E7" s="5" t="s">
        <v>43</v>
      </c>
      <c r="F7" s="6" t="s">
        <v>26</v>
      </c>
      <c r="G7" s="5" t="s">
        <v>44</v>
      </c>
      <c r="H7" s="5" t="s">
        <v>44</v>
      </c>
      <c r="I7" s="7" t="s">
        <v>28</v>
      </c>
      <c r="J7" s="8" t="s">
        <v>29</v>
      </c>
      <c r="K7" s="4">
        <v>46118</v>
      </c>
      <c r="L7" s="5" t="s">
        <v>45</v>
      </c>
      <c r="M7" s="8"/>
      <c r="N7" s="8"/>
      <c r="O7" s="5">
        <v>600001</v>
      </c>
      <c r="P7" s="9" t="s">
        <v>31</v>
      </c>
      <c r="Q7" s="9" t="s">
        <v>49</v>
      </c>
      <c r="R7" s="9" t="s">
        <v>47</v>
      </c>
      <c r="S7" s="9">
        <v>1</v>
      </c>
      <c r="T7" s="9" t="s">
        <v>34</v>
      </c>
      <c r="U7" s="5">
        <v>13300</v>
      </c>
      <c r="V7">
        <f t="shared" si="0"/>
        <v>13300</v>
      </c>
      <c r="W7" s="10">
        <v>0.18</v>
      </c>
      <c r="X7" s="11">
        <f t="shared" si="1"/>
        <v>2394</v>
      </c>
      <c r="Y7">
        <v>0</v>
      </c>
      <c r="Z7" s="11">
        <f t="shared" si="2"/>
        <v>15694</v>
      </c>
    </row>
    <row r="8" spans="1:26" ht="30">
      <c r="A8" s="4">
        <v>46118</v>
      </c>
      <c r="B8" s="9" t="s">
        <v>42</v>
      </c>
      <c r="C8" s="9" t="s">
        <v>42</v>
      </c>
      <c r="D8" s="9" t="s">
        <v>42</v>
      </c>
      <c r="E8" s="5" t="s">
        <v>43</v>
      </c>
      <c r="F8" s="6" t="s">
        <v>26</v>
      </c>
      <c r="G8" s="5" t="s">
        <v>44</v>
      </c>
      <c r="H8" s="5" t="s">
        <v>44</v>
      </c>
      <c r="I8" s="7" t="s">
        <v>28</v>
      </c>
      <c r="J8" s="8" t="s">
        <v>29</v>
      </c>
      <c r="K8" s="4">
        <v>46118</v>
      </c>
      <c r="L8" s="5" t="s">
        <v>45</v>
      </c>
      <c r="M8" s="8"/>
      <c r="N8" s="8"/>
      <c r="O8" s="5">
        <v>600001</v>
      </c>
      <c r="P8" s="9" t="s">
        <v>31</v>
      </c>
      <c r="Q8" s="9" t="s">
        <v>48</v>
      </c>
      <c r="R8" s="9" t="s">
        <v>50</v>
      </c>
      <c r="S8" s="9">
        <v>5</v>
      </c>
      <c r="T8" s="9" t="s">
        <v>34</v>
      </c>
      <c r="U8" s="5">
        <v>9150</v>
      </c>
      <c r="V8">
        <f t="shared" si="0"/>
        <v>45750</v>
      </c>
      <c r="W8" s="10">
        <v>0.18</v>
      </c>
      <c r="X8" s="11">
        <f t="shared" si="1"/>
        <v>8235</v>
      </c>
      <c r="Y8">
        <v>0</v>
      </c>
      <c r="Z8" s="11">
        <f t="shared" si="2"/>
        <v>53985</v>
      </c>
    </row>
    <row r="9" spans="1:26" ht="30">
      <c r="A9" s="4">
        <v>46118</v>
      </c>
      <c r="B9" s="9" t="s">
        <v>42</v>
      </c>
      <c r="C9" s="9" t="s">
        <v>42</v>
      </c>
      <c r="D9" s="9" t="s">
        <v>42</v>
      </c>
      <c r="E9" s="5" t="s">
        <v>43</v>
      </c>
      <c r="F9" s="6" t="s">
        <v>26</v>
      </c>
      <c r="G9" s="5" t="s">
        <v>44</v>
      </c>
      <c r="H9" s="5" t="s">
        <v>44</v>
      </c>
      <c r="I9" s="7" t="s">
        <v>28</v>
      </c>
      <c r="J9" s="8" t="s">
        <v>29</v>
      </c>
      <c r="K9" s="4">
        <v>46118</v>
      </c>
      <c r="L9" s="5" t="s">
        <v>45</v>
      </c>
      <c r="M9" s="8"/>
      <c r="N9" s="8"/>
      <c r="O9" s="5">
        <v>600001</v>
      </c>
      <c r="P9" s="9" t="s">
        <v>31</v>
      </c>
      <c r="Q9" s="9" t="s">
        <v>32</v>
      </c>
      <c r="R9" s="9" t="s">
        <v>33</v>
      </c>
      <c r="S9" s="9">
        <v>10</v>
      </c>
      <c r="T9" s="9" t="s">
        <v>34</v>
      </c>
      <c r="U9" s="5">
        <v>10400</v>
      </c>
      <c r="V9">
        <f t="shared" si="0"/>
        <v>104000</v>
      </c>
      <c r="W9" s="10">
        <v>0.18</v>
      </c>
      <c r="X9" s="11">
        <f t="shared" si="1"/>
        <v>18720</v>
      </c>
      <c r="Y9">
        <v>0</v>
      </c>
      <c r="Z9" s="11">
        <f t="shared" si="2"/>
        <v>122720</v>
      </c>
    </row>
    <row r="10" spans="1:26" ht="30">
      <c r="A10" s="4">
        <v>46118</v>
      </c>
      <c r="B10" s="9" t="s">
        <v>42</v>
      </c>
      <c r="C10" s="9" t="s">
        <v>42</v>
      </c>
      <c r="D10" s="9" t="s">
        <v>42</v>
      </c>
      <c r="E10" s="5" t="s">
        <v>43</v>
      </c>
      <c r="F10" s="6" t="s">
        <v>26</v>
      </c>
      <c r="G10" s="5" t="s">
        <v>44</v>
      </c>
      <c r="H10" s="5" t="s">
        <v>44</v>
      </c>
      <c r="I10" s="7" t="s">
        <v>28</v>
      </c>
      <c r="J10" s="8" t="s">
        <v>29</v>
      </c>
      <c r="K10" s="4">
        <v>46118</v>
      </c>
      <c r="L10" s="5" t="s">
        <v>45</v>
      </c>
      <c r="M10" s="8"/>
      <c r="N10" s="8"/>
      <c r="O10" s="5">
        <v>600001</v>
      </c>
      <c r="P10" s="9" t="s">
        <v>31</v>
      </c>
      <c r="Q10" s="9" t="s">
        <v>51</v>
      </c>
      <c r="R10" s="9" t="s">
        <v>33</v>
      </c>
      <c r="S10" s="9">
        <v>4</v>
      </c>
      <c r="T10" s="9" t="s">
        <v>34</v>
      </c>
      <c r="U10" s="5">
        <v>12950</v>
      </c>
      <c r="V10">
        <f t="shared" si="0"/>
        <v>51800</v>
      </c>
      <c r="W10" s="10">
        <v>0.18</v>
      </c>
      <c r="X10" s="11">
        <f t="shared" si="1"/>
        <v>9324</v>
      </c>
      <c r="Y10">
        <v>0</v>
      </c>
      <c r="Z10" s="11">
        <f t="shared" si="2"/>
        <v>61124</v>
      </c>
    </row>
    <row r="11" spans="1:26" ht="30">
      <c r="A11" s="4">
        <v>46118</v>
      </c>
      <c r="B11" s="9" t="s">
        <v>42</v>
      </c>
      <c r="C11" s="9" t="s">
        <v>42</v>
      </c>
      <c r="D11" s="9" t="s">
        <v>42</v>
      </c>
      <c r="E11" s="5" t="s">
        <v>43</v>
      </c>
      <c r="F11" s="6" t="s">
        <v>26</v>
      </c>
      <c r="G11" s="5" t="s">
        <v>44</v>
      </c>
      <c r="H11" s="5" t="s">
        <v>44</v>
      </c>
      <c r="I11" s="7" t="s">
        <v>28</v>
      </c>
      <c r="J11" s="8" t="s">
        <v>29</v>
      </c>
      <c r="K11" s="4">
        <v>46118</v>
      </c>
      <c r="L11" s="5" t="s">
        <v>45</v>
      </c>
      <c r="M11" s="8"/>
      <c r="N11" s="8"/>
      <c r="O11" s="5">
        <v>600001</v>
      </c>
      <c r="P11" s="9" t="s">
        <v>31</v>
      </c>
      <c r="Q11" s="9" t="s">
        <v>52</v>
      </c>
      <c r="R11" s="9" t="s">
        <v>33</v>
      </c>
      <c r="S11" s="9">
        <v>10</v>
      </c>
      <c r="T11" s="9" t="s">
        <v>34</v>
      </c>
      <c r="U11" s="5">
        <v>4350</v>
      </c>
      <c r="V11">
        <f t="shared" si="0"/>
        <v>43500</v>
      </c>
      <c r="W11" s="10">
        <v>0.18</v>
      </c>
      <c r="X11" s="11">
        <f t="shared" si="1"/>
        <v>7830</v>
      </c>
      <c r="Y11">
        <v>0</v>
      </c>
      <c r="Z11" s="11">
        <f t="shared" si="2"/>
        <v>51330</v>
      </c>
    </row>
    <row r="12" spans="1:26" ht="75">
      <c r="A12" s="4">
        <v>46118</v>
      </c>
      <c r="B12" s="5" t="s">
        <v>53</v>
      </c>
      <c r="C12" s="5" t="s">
        <v>53</v>
      </c>
      <c r="D12" s="5" t="s">
        <v>53</v>
      </c>
      <c r="E12" s="5" t="s">
        <v>54</v>
      </c>
      <c r="F12" s="6" t="s">
        <v>26</v>
      </c>
      <c r="G12" s="5" t="s">
        <v>55</v>
      </c>
      <c r="H12" s="5" t="s">
        <v>55</v>
      </c>
      <c r="I12" s="7" t="s">
        <v>28</v>
      </c>
      <c r="J12" s="8" t="s">
        <v>29</v>
      </c>
      <c r="K12" s="4">
        <v>46118</v>
      </c>
      <c r="L12" s="5" t="s">
        <v>56</v>
      </c>
      <c r="M12" s="8"/>
      <c r="N12" s="8"/>
      <c r="O12" s="5">
        <v>382421</v>
      </c>
      <c r="P12" s="9" t="s">
        <v>57</v>
      </c>
      <c r="Q12" s="9" t="s">
        <v>32</v>
      </c>
      <c r="R12" s="9" t="s">
        <v>41</v>
      </c>
      <c r="S12" s="9">
        <v>12</v>
      </c>
      <c r="T12" s="9" t="s">
        <v>34</v>
      </c>
      <c r="U12" s="5">
        <v>4800</v>
      </c>
      <c r="V12">
        <f t="shared" si="0"/>
        <v>57600</v>
      </c>
      <c r="W12" s="10">
        <v>0.18</v>
      </c>
      <c r="X12" s="11">
        <f t="shared" si="1"/>
        <v>10368</v>
      </c>
      <c r="Y12">
        <v>0</v>
      </c>
      <c r="Z12" s="11">
        <f t="shared" si="2"/>
        <v>67968</v>
      </c>
    </row>
    <row r="13" spans="1:26" ht="75">
      <c r="A13" s="4">
        <v>46118</v>
      </c>
      <c r="B13" s="5" t="s">
        <v>53</v>
      </c>
      <c r="C13" s="5" t="s">
        <v>53</v>
      </c>
      <c r="D13" s="5" t="s">
        <v>53</v>
      </c>
      <c r="E13" s="5" t="s">
        <v>54</v>
      </c>
      <c r="F13" s="6" t="s">
        <v>26</v>
      </c>
      <c r="G13" s="5" t="s">
        <v>55</v>
      </c>
      <c r="H13" s="5" t="s">
        <v>55</v>
      </c>
      <c r="I13" s="7" t="s">
        <v>28</v>
      </c>
      <c r="J13" s="8" t="s">
        <v>29</v>
      </c>
      <c r="K13" s="4">
        <v>46118</v>
      </c>
      <c r="L13" s="5" t="s">
        <v>56</v>
      </c>
      <c r="M13" s="8"/>
      <c r="N13" s="8"/>
      <c r="O13" s="5">
        <v>382421</v>
      </c>
      <c r="P13" s="9" t="s">
        <v>31</v>
      </c>
      <c r="Q13" s="9" t="s">
        <v>32</v>
      </c>
      <c r="R13" s="9" t="s">
        <v>41</v>
      </c>
      <c r="S13" s="9">
        <v>22</v>
      </c>
      <c r="T13" s="9" t="s">
        <v>34</v>
      </c>
      <c r="U13" s="5">
        <v>4517</v>
      </c>
      <c r="V13">
        <f t="shared" si="0"/>
        <v>99374</v>
      </c>
      <c r="W13" s="10">
        <v>0.18</v>
      </c>
      <c r="X13" s="11">
        <f t="shared" si="1"/>
        <v>17887.32</v>
      </c>
      <c r="Y13">
        <v>0</v>
      </c>
      <c r="Z13" s="11">
        <f t="shared" si="2"/>
        <v>117261.32</v>
      </c>
    </row>
    <row r="14" spans="1:26" ht="75">
      <c r="A14" s="4">
        <v>46118</v>
      </c>
      <c r="B14" s="5" t="s">
        <v>53</v>
      </c>
      <c r="C14" s="5" t="s">
        <v>53</v>
      </c>
      <c r="D14" s="5" t="s">
        <v>53</v>
      </c>
      <c r="E14" s="5" t="s">
        <v>54</v>
      </c>
      <c r="F14" s="6" t="s">
        <v>26</v>
      </c>
      <c r="G14" s="5" t="s">
        <v>55</v>
      </c>
      <c r="H14" s="5" t="s">
        <v>55</v>
      </c>
      <c r="I14" s="7" t="s">
        <v>28</v>
      </c>
      <c r="J14" s="8" t="s">
        <v>29</v>
      </c>
      <c r="K14" s="4">
        <v>46118</v>
      </c>
      <c r="L14" s="5" t="s">
        <v>56</v>
      </c>
      <c r="M14" s="8"/>
      <c r="N14" s="8"/>
      <c r="O14" s="5">
        <v>382421</v>
      </c>
      <c r="P14" s="9" t="s">
        <v>58</v>
      </c>
      <c r="Q14" s="9" t="s">
        <v>32</v>
      </c>
      <c r="R14" s="9" t="s">
        <v>41</v>
      </c>
      <c r="S14" s="9">
        <v>40</v>
      </c>
      <c r="T14" s="9" t="s">
        <v>34</v>
      </c>
      <c r="U14" s="5">
        <v>6217</v>
      </c>
      <c r="V14">
        <f t="shared" si="0"/>
        <v>248680</v>
      </c>
      <c r="W14" s="10">
        <v>0.18</v>
      </c>
      <c r="X14" s="11">
        <f t="shared" si="1"/>
        <v>44762.400000000001</v>
      </c>
      <c r="Y14">
        <v>0</v>
      </c>
      <c r="Z14" s="11">
        <f t="shared" si="2"/>
        <v>293442.40000000002</v>
      </c>
    </row>
    <row r="15" spans="1:26" ht="30">
      <c r="A15" s="4">
        <v>46119</v>
      </c>
      <c r="B15" s="9" t="s">
        <v>59</v>
      </c>
      <c r="C15" s="9" t="s">
        <v>59</v>
      </c>
      <c r="D15" s="9" t="s">
        <v>59</v>
      </c>
      <c r="E15" s="5" t="s">
        <v>60</v>
      </c>
      <c r="F15" s="6" t="s">
        <v>26</v>
      </c>
      <c r="G15" s="5" t="s">
        <v>61</v>
      </c>
      <c r="H15" s="5" t="s">
        <v>61</v>
      </c>
      <c r="I15" s="7" t="s">
        <v>28</v>
      </c>
      <c r="J15" s="8" t="s">
        <v>29</v>
      </c>
      <c r="K15" s="4">
        <v>46119</v>
      </c>
      <c r="L15" s="5" t="s">
        <v>62</v>
      </c>
      <c r="M15" s="8"/>
      <c r="N15" s="8"/>
      <c r="O15" s="5">
        <v>361006</v>
      </c>
      <c r="P15" s="9" t="s">
        <v>31</v>
      </c>
      <c r="Q15" s="9" t="s">
        <v>32</v>
      </c>
      <c r="R15" s="9" t="s">
        <v>41</v>
      </c>
      <c r="S15" s="9">
        <v>30</v>
      </c>
      <c r="T15" s="9" t="s">
        <v>34</v>
      </c>
      <c r="U15" s="5">
        <v>3822</v>
      </c>
      <c r="V15">
        <f t="shared" si="0"/>
        <v>114660</v>
      </c>
      <c r="W15" s="10">
        <v>0.18</v>
      </c>
      <c r="X15" s="11">
        <f t="shared" si="1"/>
        <v>20638.8</v>
      </c>
      <c r="Y15">
        <v>0</v>
      </c>
      <c r="Z15" s="11">
        <f t="shared" si="2"/>
        <v>135298.79999999999</v>
      </c>
    </row>
    <row r="16" spans="1:26" ht="30">
      <c r="A16" s="4">
        <v>46119</v>
      </c>
      <c r="B16" s="9" t="s">
        <v>59</v>
      </c>
      <c r="C16" s="9" t="s">
        <v>59</v>
      </c>
      <c r="D16" s="9" t="s">
        <v>59</v>
      </c>
      <c r="E16" s="5" t="s">
        <v>60</v>
      </c>
      <c r="F16" s="6" t="s">
        <v>26</v>
      </c>
      <c r="G16" s="5" t="s">
        <v>61</v>
      </c>
      <c r="H16" s="5" t="s">
        <v>61</v>
      </c>
      <c r="I16" s="7" t="s">
        <v>28</v>
      </c>
      <c r="J16" s="8" t="s">
        <v>29</v>
      </c>
      <c r="K16" s="4">
        <v>46119</v>
      </c>
      <c r="L16" s="5" t="s">
        <v>62</v>
      </c>
      <c r="M16" s="8"/>
      <c r="N16" s="8"/>
      <c r="O16" s="5">
        <v>361006</v>
      </c>
      <c r="P16" s="9" t="s">
        <v>31</v>
      </c>
      <c r="Q16" s="9" t="s">
        <v>32</v>
      </c>
      <c r="R16" s="9" t="s">
        <v>41</v>
      </c>
      <c r="S16" s="9">
        <v>12</v>
      </c>
      <c r="T16" s="9" t="s">
        <v>34</v>
      </c>
      <c r="U16" s="5">
        <v>3822</v>
      </c>
      <c r="V16">
        <f t="shared" si="0"/>
        <v>45864</v>
      </c>
      <c r="W16" s="10">
        <v>0.18</v>
      </c>
      <c r="X16" s="11">
        <f t="shared" si="1"/>
        <v>8255.52</v>
      </c>
      <c r="Y16">
        <v>0</v>
      </c>
      <c r="Z16" s="11">
        <f t="shared" si="2"/>
        <v>54119.519999999997</v>
      </c>
    </row>
    <row r="17" spans="1:26" ht="90">
      <c r="A17" s="4">
        <v>46119</v>
      </c>
      <c r="B17" s="9" t="s">
        <v>63</v>
      </c>
      <c r="C17" s="9" t="s">
        <v>63</v>
      </c>
      <c r="D17" s="9" t="s">
        <v>63</v>
      </c>
      <c r="E17" s="5" t="s">
        <v>64</v>
      </c>
      <c r="F17" s="6" t="s">
        <v>26</v>
      </c>
      <c r="G17" s="5" t="s">
        <v>65</v>
      </c>
      <c r="H17" s="5" t="s">
        <v>65</v>
      </c>
      <c r="I17" s="7" t="s">
        <v>28</v>
      </c>
      <c r="J17" s="8" t="s">
        <v>29</v>
      </c>
      <c r="K17" s="4">
        <v>46119</v>
      </c>
      <c r="L17" s="5" t="s">
        <v>66</v>
      </c>
      <c r="M17" s="8"/>
      <c r="N17" s="8"/>
      <c r="O17" s="5">
        <v>380060</v>
      </c>
      <c r="P17" s="9" t="s">
        <v>58</v>
      </c>
      <c r="Q17" s="9" t="s">
        <v>32</v>
      </c>
      <c r="R17" s="9" t="s">
        <v>50</v>
      </c>
      <c r="S17" s="9">
        <v>50</v>
      </c>
      <c r="T17" s="9" t="s">
        <v>67</v>
      </c>
      <c r="U17" s="5">
        <v>8000</v>
      </c>
      <c r="V17">
        <f t="shared" si="0"/>
        <v>400000</v>
      </c>
      <c r="W17" s="10">
        <v>0.18</v>
      </c>
      <c r="X17" s="11">
        <f t="shared" si="1"/>
        <v>72000</v>
      </c>
      <c r="Y17">
        <v>0</v>
      </c>
      <c r="Z17" s="11">
        <f t="shared" si="2"/>
        <v>472000</v>
      </c>
    </row>
    <row r="18" spans="1:26" ht="60">
      <c r="A18" s="4">
        <v>46120</v>
      </c>
      <c r="B18" s="9" t="s">
        <v>68</v>
      </c>
      <c r="C18" s="9" t="s">
        <v>68</v>
      </c>
      <c r="D18" s="9" t="s">
        <v>68</v>
      </c>
      <c r="E18" s="5" t="s">
        <v>69</v>
      </c>
      <c r="F18" s="6" t="s">
        <v>26</v>
      </c>
      <c r="G18" s="5" t="s">
        <v>70</v>
      </c>
      <c r="H18" s="5" t="s">
        <v>70</v>
      </c>
      <c r="I18" s="7" t="s">
        <v>28</v>
      </c>
      <c r="J18" s="8" t="s">
        <v>29</v>
      </c>
      <c r="K18" s="4">
        <v>46120</v>
      </c>
      <c r="L18" s="5" t="s">
        <v>71</v>
      </c>
      <c r="M18" s="8"/>
      <c r="N18" s="8"/>
      <c r="O18" s="5">
        <v>382350</v>
      </c>
      <c r="P18" s="9" t="s">
        <v>57</v>
      </c>
      <c r="Q18" s="9" t="s">
        <v>72</v>
      </c>
      <c r="R18" s="9" t="s">
        <v>47</v>
      </c>
      <c r="S18" s="9">
        <v>1</v>
      </c>
      <c r="T18" s="9" t="s">
        <v>34</v>
      </c>
      <c r="U18" s="5">
        <v>25340</v>
      </c>
      <c r="V18">
        <f t="shared" si="0"/>
        <v>25340</v>
      </c>
      <c r="W18" s="10">
        <v>0.18</v>
      </c>
      <c r="X18" s="11">
        <f t="shared" si="1"/>
        <v>4561.2</v>
      </c>
      <c r="Y18">
        <v>0</v>
      </c>
      <c r="Z18" s="11">
        <f t="shared" si="2"/>
        <v>29901.200000000001</v>
      </c>
    </row>
    <row r="19" spans="1:26" ht="90">
      <c r="A19" s="4">
        <v>46120</v>
      </c>
      <c r="B19" s="5" t="s">
        <v>73</v>
      </c>
      <c r="C19" s="5" t="s">
        <v>73</v>
      </c>
      <c r="D19" s="5" t="s">
        <v>73</v>
      </c>
      <c r="E19" s="5" t="s">
        <v>74</v>
      </c>
      <c r="F19" s="6" t="s">
        <v>26</v>
      </c>
      <c r="G19" s="5" t="s">
        <v>75</v>
      </c>
      <c r="H19" s="5" t="s">
        <v>75</v>
      </c>
      <c r="I19" s="7" t="s">
        <v>28</v>
      </c>
      <c r="J19" s="8" t="s">
        <v>29</v>
      </c>
      <c r="K19" s="4">
        <v>46120</v>
      </c>
      <c r="L19" s="5" t="s">
        <v>76</v>
      </c>
      <c r="M19" s="8"/>
      <c r="N19" s="8"/>
      <c r="O19" s="5">
        <v>382415</v>
      </c>
      <c r="P19" s="9" t="s">
        <v>31</v>
      </c>
      <c r="Q19" s="9" t="s">
        <v>77</v>
      </c>
      <c r="R19" s="9" t="s">
        <v>41</v>
      </c>
      <c r="S19" s="9">
        <v>1</v>
      </c>
      <c r="T19" s="9" t="s">
        <v>34</v>
      </c>
      <c r="U19" s="5">
        <v>21714</v>
      </c>
      <c r="V19">
        <f t="shared" si="0"/>
        <v>21714</v>
      </c>
      <c r="W19" s="10">
        <v>0.18</v>
      </c>
      <c r="X19" s="11">
        <f t="shared" si="1"/>
        <v>3908.52</v>
      </c>
      <c r="Y19">
        <v>0</v>
      </c>
      <c r="Z19" s="11">
        <f t="shared" si="2"/>
        <v>25622.52</v>
      </c>
    </row>
    <row r="20" spans="1:26" ht="90">
      <c r="A20" s="4">
        <v>46120</v>
      </c>
      <c r="B20" s="5" t="s">
        <v>73</v>
      </c>
      <c r="C20" s="5" t="s">
        <v>73</v>
      </c>
      <c r="D20" s="5" t="s">
        <v>73</v>
      </c>
      <c r="E20" s="5" t="s">
        <v>74</v>
      </c>
      <c r="F20" s="6" t="s">
        <v>26</v>
      </c>
      <c r="G20" s="5" t="s">
        <v>75</v>
      </c>
      <c r="H20" s="5" t="s">
        <v>75</v>
      </c>
      <c r="I20" s="7" t="s">
        <v>28</v>
      </c>
      <c r="J20" s="8" t="s">
        <v>29</v>
      </c>
      <c r="K20" s="4">
        <v>46120</v>
      </c>
      <c r="L20" s="5" t="s">
        <v>76</v>
      </c>
      <c r="M20" s="8"/>
      <c r="N20" s="8"/>
      <c r="O20" s="5">
        <v>382415</v>
      </c>
      <c r="P20" s="9" t="s">
        <v>31</v>
      </c>
      <c r="Q20" s="9" t="s">
        <v>78</v>
      </c>
      <c r="R20" s="9" t="s">
        <v>41</v>
      </c>
      <c r="S20" s="9">
        <v>1</v>
      </c>
      <c r="T20" s="9" t="s">
        <v>34</v>
      </c>
      <c r="U20" s="5">
        <v>36010</v>
      </c>
      <c r="V20">
        <f t="shared" si="0"/>
        <v>36010</v>
      </c>
      <c r="W20" s="10">
        <v>0.18</v>
      </c>
      <c r="X20" s="11">
        <f t="shared" si="1"/>
        <v>6481.8</v>
      </c>
      <c r="Y20">
        <v>0</v>
      </c>
      <c r="Z20" s="11">
        <f t="shared" si="2"/>
        <v>42491.8</v>
      </c>
    </row>
    <row r="21" spans="1:26" ht="75">
      <c r="A21" s="4">
        <v>46121</v>
      </c>
      <c r="B21" s="5" t="s">
        <v>79</v>
      </c>
      <c r="C21" s="5" t="s">
        <v>79</v>
      </c>
      <c r="D21" s="5" t="s">
        <v>79</v>
      </c>
      <c r="E21" s="5" t="s">
        <v>80</v>
      </c>
      <c r="F21" s="6" t="s">
        <v>26</v>
      </c>
      <c r="G21" s="5" t="s">
        <v>81</v>
      </c>
      <c r="H21" s="5" t="s">
        <v>81</v>
      </c>
      <c r="I21" s="7" t="s">
        <v>28</v>
      </c>
      <c r="J21" s="8" t="s">
        <v>29</v>
      </c>
      <c r="K21" s="4">
        <v>46121</v>
      </c>
      <c r="L21" s="5" t="s">
        <v>82</v>
      </c>
      <c r="M21" s="8"/>
      <c r="N21" s="8"/>
      <c r="O21" s="5">
        <v>371004</v>
      </c>
      <c r="P21" s="9" t="s">
        <v>31</v>
      </c>
      <c r="Q21" s="9" t="s">
        <v>48</v>
      </c>
      <c r="R21" s="9" t="s">
        <v>41</v>
      </c>
      <c r="S21" s="9">
        <v>10</v>
      </c>
      <c r="T21" s="9" t="s">
        <v>34</v>
      </c>
      <c r="U21" s="5">
        <v>2760</v>
      </c>
      <c r="V21">
        <f t="shared" si="0"/>
        <v>27600</v>
      </c>
      <c r="W21" s="10">
        <v>0.18</v>
      </c>
      <c r="X21" s="11">
        <f t="shared" si="1"/>
        <v>4968</v>
      </c>
      <c r="Y21">
        <v>0</v>
      </c>
      <c r="Z21" s="11">
        <f t="shared" si="2"/>
        <v>32568</v>
      </c>
    </row>
    <row r="22" spans="1:26" ht="75">
      <c r="A22" s="4">
        <v>46122</v>
      </c>
      <c r="B22" s="5" t="s">
        <v>53</v>
      </c>
      <c r="C22" s="5" t="s">
        <v>53</v>
      </c>
      <c r="D22" s="5" t="s">
        <v>53</v>
      </c>
      <c r="E22" s="5" t="s">
        <v>54</v>
      </c>
      <c r="F22" s="6" t="s">
        <v>26</v>
      </c>
      <c r="G22" s="5" t="s">
        <v>55</v>
      </c>
      <c r="H22" s="5" t="s">
        <v>55</v>
      </c>
      <c r="I22" s="7" t="s">
        <v>28</v>
      </c>
      <c r="J22" s="8" t="s">
        <v>29</v>
      </c>
      <c r="K22" s="4">
        <v>46122</v>
      </c>
      <c r="L22" s="5" t="s">
        <v>56</v>
      </c>
      <c r="M22" s="8"/>
      <c r="N22" s="8"/>
      <c r="O22" s="5">
        <v>382421</v>
      </c>
      <c r="P22" s="9" t="s">
        <v>58</v>
      </c>
      <c r="Q22" s="9" t="s">
        <v>32</v>
      </c>
      <c r="R22" s="9" t="s">
        <v>33</v>
      </c>
      <c r="S22" s="9">
        <v>8</v>
      </c>
      <c r="T22" s="9" t="s">
        <v>83</v>
      </c>
      <c r="U22" s="5">
        <v>8910</v>
      </c>
      <c r="V22">
        <f t="shared" si="0"/>
        <v>71280</v>
      </c>
      <c r="W22" s="10">
        <v>0.18</v>
      </c>
      <c r="X22" s="11">
        <f t="shared" si="1"/>
        <v>12830.4</v>
      </c>
      <c r="Y22">
        <v>0</v>
      </c>
      <c r="Z22" s="11">
        <f t="shared" si="2"/>
        <v>84110.399999999994</v>
      </c>
    </row>
    <row r="23" spans="1:26" ht="30">
      <c r="A23" s="4">
        <v>46122</v>
      </c>
      <c r="B23" s="5" t="s">
        <v>84</v>
      </c>
      <c r="C23" s="5" t="s">
        <v>84</v>
      </c>
      <c r="D23" s="5" t="s">
        <v>85</v>
      </c>
      <c r="E23" s="5" t="s">
        <v>86</v>
      </c>
      <c r="F23" s="6" t="s">
        <v>26</v>
      </c>
      <c r="G23" s="5" t="s">
        <v>87</v>
      </c>
      <c r="H23" s="5" t="s">
        <v>87</v>
      </c>
      <c r="I23" s="7" t="s">
        <v>28</v>
      </c>
      <c r="J23" s="8" t="s">
        <v>29</v>
      </c>
      <c r="K23" s="4">
        <v>46122</v>
      </c>
      <c r="L23" s="5" t="s">
        <v>88</v>
      </c>
      <c r="M23" s="8"/>
      <c r="N23" s="8"/>
      <c r="O23" s="5">
        <v>380059</v>
      </c>
      <c r="P23" s="9" t="s">
        <v>31</v>
      </c>
      <c r="Q23" s="9" t="s">
        <v>46</v>
      </c>
      <c r="R23" s="9" t="s">
        <v>47</v>
      </c>
      <c r="S23" s="9">
        <v>2</v>
      </c>
      <c r="T23" s="9" t="s">
        <v>34</v>
      </c>
      <c r="U23" s="5">
        <v>27742</v>
      </c>
      <c r="V23">
        <f t="shared" si="0"/>
        <v>55484</v>
      </c>
      <c r="W23" s="10">
        <v>0.18</v>
      </c>
      <c r="X23" s="11">
        <f t="shared" si="1"/>
        <v>9987.1200000000008</v>
      </c>
      <c r="Y23">
        <v>0</v>
      </c>
      <c r="Z23" s="11">
        <f t="shared" si="2"/>
        <v>65471.12</v>
      </c>
    </row>
    <row r="24" spans="1:26" ht="30">
      <c r="A24" s="4">
        <v>46122</v>
      </c>
      <c r="B24" s="5" t="s">
        <v>84</v>
      </c>
      <c r="C24" s="5" t="s">
        <v>84</v>
      </c>
      <c r="D24" s="5" t="s">
        <v>85</v>
      </c>
      <c r="E24" s="5" t="s">
        <v>86</v>
      </c>
      <c r="F24" s="6" t="s">
        <v>26</v>
      </c>
      <c r="G24" s="5" t="s">
        <v>87</v>
      </c>
      <c r="H24" s="5" t="s">
        <v>87</v>
      </c>
      <c r="I24" s="7" t="s">
        <v>28</v>
      </c>
      <c r="J24" s="8" t="s">
        <v>29</v>
      </c>
      <c r="K24" s="4">
        <v>46122</v>
      </c>
      <c r="L24" s="5" t="s">
        <v>88</v>
      </c>
      <c r="M24" s="8"/>
      <c r="N24" s="8"/>
      <c r="O24" s="5">
        <v>380059</v>
      </c>
      <c r="P24" s="9" t="s">
        <v>31</v>
      </c>
      <c r="Q24" s="9" t="s">
        <v>89</v>
      </c>
      <c r="R24" s="9" t="s">
        <v>90</v>
      </c>
      <c r="S24" s="9">
        <v>39</v>
      </c>
      <c r="T24" s="9" t="s">
        <v>34</v>
      </c>
      <c r="U24" s="5">
        <v>1990</v>
      </c>
      <c r="V24">
        <f t="shared" si="0"/>
        <v>77610</v>
      </c>
      <c r="W24" s="10">
        <v>0.18</v>
      </c>
      <c r="X24" s="11">
        <f t="shared" si="1"/>
        <v>13969.8</v>
      </c>
      <c r="Y24">
        <v>0</v>
      </c>
      <c r="Z24" s="11">
        <f t="shared" si="2"/>
        <v>91579.8</v>
      </c>
    </row>
    <row r="25" spans="1:26" ht="75">
      <c r="A25" s="4">
        <v>46122</v>
      </c>
      <c r="B25" s="5" t="s">
        <v>91</v>
      </c>
      <c r="C25" s="5" t="s">
        <v>91</v>
      </c>
      <c r="D25" s="5" t="s">
        <v>91</v>
      </c>
      <c r="E25" s="5" t="s">
        <v>92</v>
      </c>
      <c r="F25" s="6" t="s">
        <v>26</v>
      </c>
      <c r="G25" s="5" t="s">
        <v>93</v>
      </c>
      <c r="H25" s="5" t="s">
        <v>93</v>
      </c>
      <c r="I25" s="7" t="s">
        <v>28</v>
      </c>
      <c r="J25" s="8" t="s">
        <v>29</v>
      </c>
      <c r="K25" s="4">
        <v>46122</v>
      </c>
      <c r="L25" s="5" t="s">
        <v>94</v>
      </c>
      <c r="M25" s="8"/>
      <c r="N25" s="8"/>
      <c r="O25" s="5">
        <v>380009</v>
      </c>
      <c r="P25" s="9" t="s">
        <v>31</v>
      </c>
      <c r="Q25" s="9" t="s">
        <v>32</v>
      </c>
      <c r="R25" s="9" t="s">
        <v>47</v>
      </c>
      <c r="S25" s="9">
        <v>1</v>
      </c>
      <c r="T25" s="9" t="s">
        <v>34</v>
      </c>
      <c r="U25" s="5">
        <v>9300</v>
      </c>
      <c r="V25">
        <f t="shared" si="0"/>
        <v>9300</v>
      </c>
      <c r="W25" s="10">
        <v>0.18</v>
      </c>
      <c r="X25" s="11">
        <f t="shared" si="1"/>
        <v>1674</v>
      </c>
      <c r="Y25">
        <v>0</v>
      </c>
      <c r="Z25" s="11">
        <f t="shared" si="2"/>
        <v>10974</v>
      </c>
    </row>
    <row r="26" spans="1:26" ht="90">
      <c r="A26" s="4">
        <v>46122</v>
      </c>
      <c r="B26" s="9" t="s">
        <v>95</v>
      </c>
      <c r="C26" s="9" t="s">
        <v>95</v>
      </c>
      <c r="D26" s="9" t="s">
        <v>95</v>
      </c>
      <c r="E26" s="5" t="s">
        <v>96</v>
      </c>
      <c r="F26" s="6" t="s">
        <v>26</v>
      </c>
      <c r="G26" s="5" t="s">
        <v>97</v>
      </c>
      <c r="H26" s="5" t="s">
        <v>97</v>
      </c>
      <c r="I26" s="7" t="s">
        <v>28</v>
      </c>
      <c r="J26" s="8" t="s">
        <v>29</v>
      </c>
      <c r="K26" s="4">
        <v>46122</v>
      </c>
      <c r="L26" s="5" t="s">
        <v>98</v>
      </c>
      <c r="M26" s="8"/>
      <c r="N26" s="8"/>
      <c r="O26" s="5">
        <v>380059</v>
      </c>
      <c r="P26" s="9" t="s">
        <v>31</v>
      </c>
      <c r="Q26" s="9" t="s">
        <v>32</v>
      </c>
      <c r="R26" s="9" t="s">
        <v>47</v>
      </c>
      <c r="S26" s="9">
        <v>2</v>
      </c>
      <c r="T26" s="9" t="s">
        <v>34</v>
      </c>
      <c r="U26" s="5">
        <v>8910</v>
      </c>
      <c r="V26">
        <f t="shared" si="0"/>
        <v>17820</v>
      </c>
      <c r="W26" s="10">
        <v>0.18</v>
      </c>
      <c r="X26" s="11">
        <f t="shared" si="1"/>
        <v>3207.6</v>
      </c>
      <c r="Y26">
        <v>0</v>
      </c>
      <c r="Z26" s="11">
        <f t="shared" si="2"/>
        <v>21027.599999999999</v>
      </c>
    </row>
    <row r="27" spans="1:26" ht="120">
      <c r="A27" s="4">
        <v>46127</v>
      </c>
      <c r="B27" s="9" t="s">
        <v>99</v>
      </c>
      <c r="C27" s="9" t="s">
        <v>99</v>
      </c>
      <c r="D27" s="9" t="s">
        <v>99</v>
      </c>
      <c r="E27" s="5" t="s">
        <v>100</v>
      </c>
      <c r="F27" s="6" t="s">
        <v>26</v>
      </c>
      <c r="G27" s="5" t="s">
        <v>101</v>
      </c>
      <c r="H27" s="5" t="s">
        <v>101</v>
      </c>
      <c r="I27" s="7" t="s">
        <v>28</v>
      </c>
      <c r="J27" s="8" t="s">
        <v>29</v>
      </c>
      <c r="K27" s="4">
        <v>46127</v>
      </c>
      <c r="L27" s="5" t="s">
        <v>102</v>
      </c>
      <c r="M27" s="8"/>
      <c r="N27" s="8"/>
      <c r="O27" s="5">
        <v>382405</v>
      </c>
      <c r="P27" s="9" t="s">
        <v>31</v>
      </c>
      <c r="Q27" s="9" t="s">
        <v>40</v>
      </c>
      <c r="R27" s="9" t="s">
        <v>41</v>
      </c>
      <c r="S27" s="9">
        <v>1</v>
      </c>
      <c r="T27" s="9" t="s">
        <v>34</v>
      </c>
      <c r="U27" s="5">
        <v>1296</v>
      </c>
      <c r="V27">
        <f t="shared" si="0"/>
        <v>1296</v>
      </c>
      <c r="W27" s="10">
        <v>0.18</v>
      </c>
      <c r="X27" s="11">
        <f t="shared" si="1"/>
        <v>233.28</v>
      </c>
      <c r="Y27">
        <v>0</v>
      </c>
      <c r="Z27" s="11">
        <f t="shared" si="2"/>
        <v>1529.28</v>
      </c>
    </row>
    <row r="28" spans="1:26" ht="105">
      <c r="A28" s="4">
        <v>46127</v>
      </c>
      <c r="B28" s="9" t="s">
        <v>103</v>
      </c>
      <c r="C28" s="9" t="s">
        <v>103</v>
      </c>
      <c r="D28" s="9" t="s">
        <v>103</v>
      </c>
      <c r="E28" s="5" t="s">
        <v>104</v>
      </c>
      <c r="F28" s="6" t="s">
        <v>26</v>
      </c>
      <c r="G28" s="5" t="s">
        <v>105</v>
      </c>
      <c r="H28" s="5" t="s">
        <v>105</v>
      </c>
      <c r="I28" s="7" t="s">
        <v>28</v>
      </c>
      <c r="J28" s="8" t="s">
        <v>29</v>
      </c>
      <c r="K28" s="4">
        <v>46127</v>
      </c>
      <c r="L28" s="5" t="s">
        <v>106</v>
      </c>
      <c r="M28" s="8"/>
      <c r="N28" s="8"/>
      <c r="O28" s="5">
        <v>382421</v>
      </c>
      <c r="P28" s="9" t="s">
        <v>31</v>
      </c>
      <c r="Q28" s="9" t="s">
        <v>77</v>
      </c>
      <c r="R28" s="9" t="s">
        <v>33</v>
      </c>
      <c r="S28" s="9">
        <v>1</v>
      </c>
      <c r="T28" s="9" t="s">
        <v>34</v>
      </c>
      <c r="U28" s="5">
        <v>28325</v>
      </c>
      <c r="V28">
        <f t="shared" si="0"/>
        <v>28325</v>
      </c>
      <c r="W28" s="10">
        <v>0.18</v>
      </c>
      <c r="X28" s="11">
        <f t="shared" si="1"/>
        <v>5098.5</v>
      </c>
      <c r="Y28">
        <v>0</v>
      </c>
      <c r="Z28" s="11">
        <f t="shared" si="2"/>
        <v>33423.5</v>
      </c>
    </row>
    <row r="29" spans="1:26" ht="75">
      <c r="A29" s="4">
        <v>46127</v>
      </c>
      <c r="B29" s="5" t="s">
        <v>107</v>
      </c>
      <c r="C29" s="5" t="s">
        <v>107</v>
      </c>
      <c r="D29" s="9" t="s">
        <v>91</v>
      </c>
      <c r="E29" s="5" t="s">
        <v>108</v>
      </c>
      <c r="F29" s="6" t="s">
        <v>26</v>
      </c>
      <c r="G29" s="5" t="s">
        <v>93</v>
      </c>
      <c r="H29" s="5" t="s">
        <v>93</v>
      </c>
      <c r="I29" s="7" t="s">
        <v>28</v>
      </c>
      <c r="J29" s="8" t="s">
        <v>29</v>
      </c>
      <c r="K29" s="4">
        <v>46127</v>
      </c>
      <c r="L29" s="5" t="s">
        <v>94</v>
      </c>
      <c r="M29" s="8"/>
      <c r="N29" s="8"/>
      <c r="O29" s="5">
        <v>380009</v>
      </c>
      <c r="P29" s="9" t="s">
        <v>31</v>
      </c>
      <c r="Q29" s="9" t="s">
        <v>32</v>
      </c>
      <c r="R29" s="9" t="s">
        <v>47</v>
      </c>
      <c r="S29" s="9">
        <v>5</v>
      </c>
      <c r="T29" s="9" t="s">
        <v>34</v>
      </c>
      <c r="U29" s="5">
        <v>9300</v>
      </c>
      <c r="V29">
        <f t="shared" si="0"/>
        <v>46500</v>
      </c>
      <c r="W29" s="10">
        <v>0.18</v>
      </c>
      <c r="X29" s="11">
        <f t="shared" si="1"/>
        <v>8370</v>
      </c>
      <c r="Y29">
        <v>0</v>
      </c>
      <c r="Z29" s="11">
        <f t="shared" si="2"/>
        <v>54870</v>
      </c>
    </row>
    <row r="30" spans="1:26" ht="75">
      <c r="A30" s="4">
        <v>46127</v>
      </c>
      <c r="B30" s="5" t="s">
        <v>107</v>
      </c>
      <c r="C30" s="5" t="s">
        <v>107</v>
      </c>
      <c r="D30" s="9" t="s">
        <v>91</v>
      </c>
      <c r="E30" s="5" t="s">
        <v>108</v>
      </c>
      <c r="F30" s="6" t="s">
        <v>26</v>
      </c>
      <c r="G30" s="5" t="s">
        <v>93</v>
      </c>
      <c r="H30" s="5" t="s">
        <v>93</v>
      </c>
      <c r="I30" s="7" t="s">
        <v>28</v>
      </c>
      <c r="J30" s="8" t="s">
        <v>29</v>
      </c>
      <c r="K30" s="4">
        <v>46127</v>
      </c>
      <c r="L30" s="5" t="s">
        <v>94</v>
      </c>
      <c r="M30" s="8"/>
      <c r="N30" s="8"/>
      <c r="O30" s="5">
        <v>380009</v>
      </c>
      <c r="P30" s="9" t="s">
        <v>31</v>
      </c>
      <c r="Q30" s="9" t="s">
        <v>72</v>
      </c>
      <c r="R30" s="9" t="s">
        <v>47</v>
      </c>
      <c r="S30" s="9">
        <v>9</v>
      </c>
      <c r="T30" s="9" t="s">
        <v>34</v>
      </c>
      <c r="U30" s="5">
        <v>24244</v>
      </c>
      <c r="V30">
        <f t="shared" si="0"/>
        <v>218196</v>
      </c>
      <c r="W30" s="10">
        <v>0.18</v>
      </c>
      <c r="X30" s="11">
        <f t="shared" si="1"/>
        <v>39275.279999999999</v>
      </c>
      <c r="Y30">
        <v>0</v>
      </c>
      <c r="Z30" s="11">
        <f t="shared" si="2"/>
        <v>257471.28</v>
      </c>
    </row>
    <row r="31" spans="1:26" ht="75">
      <c r="A31" s="4">
        <v>46127</v>
      </c>
      <c r="B31" s="5" t="s">
        <v>107</v>
      </c>
      <c r="C31" s="5" t="s">
        <v>107</v>
      </c>
      <c r="D31" s="9" t="s">
        <v>91</v>
      </c>
      <c r="E31" s="5" t="s">
        <v>108</v>
      </c>
      <c r="F31" s="6" t="s">
        <v>26</v>
      </c>
      <c r="G31" s="5" t="s">
        <v>93</v>
      </c>
      <c r="H31" s="5" t="s">
        <v>93</v>
      </c>
      <c r="I31" s="7" t="s">
        <v>28</v>
      </c>
      <c r="J31" s="8" t="s">
        <v>29</v>
      </c>
      <c r="K31" s="4">
        <v>46127</v>
      </c>
      <c r="L31" s="5" t="s">
        <v>94</v>
      </c>
      <c r="M31" s="8"/>
      <c r="N31" s="8"/>
      <c r="O31" s="5">
        <v>380009</v>
      </c>
      <c r="P31" s="9" t="s">
        <v>31</v>
      </c>
      <c r="Q31" s="9" t="s">
        <v>109</v>
      </c>
      <c r="R31" s="9" t="s">
        <v>41</v>
      </c>
      <c r="S31" s="9">
        <v>10</v>
      </c>
      <c r="T31" s="9" t="s">
        <v>34</v>
      </c>
      <c r="U31" s="5">
        <v>942</v>
      </c>
      <c r="V31">
        <f t="shared" si="0"/>
        <v>9420</v>
      </c>
      <c r="W31" s="10">
        <v>0.18</v>
      </c>
      <c r="X31" s="11">
        <f t="shared" si="1"/>
        <v>1695.6</v>
      </c>
      <c r="Y31">
        <v>0</v>
      </c>
      <c r="Z31" s="11">
        <f t="shared" si="2"/>
        <v>11115.6</v>
      </c>
    </row>
    <row r="32" spans="1:26" ht="75">
      <c r="A32" s="4">
        <v>46127</v>
      </c>
      <c r="B32" s="5" t="s">
        <v>107</v>
      </c>
      <c r="C32" s="5" t="s">
        <v>107</v>
      </c>
      <c r="D32" s="9" t="s">
        <v>91</v>
      </c>
      <c r="E32" s="5" t="s">
        <v>108</v>
      </c>
      <c r="F32" s="6" t="s">
        <v>26</v>
      </c>
      <c r="G32" s="5" t="s">
        <v>93</v>
      </c>
      <c r="H32" s="5" t="s">
        <v>93</v>
      </c>
      <c r="I32" s="7" t="s">
        <v>28</v>
      </c>
      <c r="J32" s="8" t="s">
        <v>29</v>
      </c>
      <c r="K32" s="4">
        <v>46127</v>
      </c>
      <c r="L32" s="5" t="s">
        <v>94</v>
      </c>
      <c r="M32" s="8"/>
      <c r="N32" s="8"/>
      <c r="O32" s="5">
        <v>380009</v>
      </c>
      <c r="P32" s="9" t="s">
        <v>31</v>
      </c>
      <c r="Q32" s="9" t="s">
        <v>40</v>
      </c>
      <c r="R32" s="9" t="s">
        <v>41</v>
      </c>
      <c r="S32" s="9">
        <v>25</v>
      </c>
      <c r="T32" s="9" t="s">
        <v>34</v>
      </c>
      <c r="U32" s="5">
        <v>1296</v>
      </c>
      <c r="V32">
        <f t="shared" si="0"/>
        <v>32400</v>
      </c>
      <c r="W32" s="10">
        <v>0.18</v>
      </c>
      <c r="X32" s="11">
        <f t="shared" si="1"/>
        <v>5832</v>
      </c>
      <c r="Y32">
        <v>0</v>
      </c>
      <c r="Z32" s="11">
        <f t="shared" si="2"/>
        <v>38232</v>
      </c>
    </row>
    <row r="33" spans="1:26" ht="75">
      <c r="A33" s="4">
        <v>46127</v>
      </c>
      <c r="B33" s="5" t="s">
        <v>107</v>
      </c>
      <c r="C33" s="5" t="s">
        <v>107</v>
      </c>
      <c r="D33" s="9" t="s">
        <v>91</v>
      </c>
      <c r="E33" s="5" t="s">
        <v>108</v>
      </c>
      <c r="F33" s="6" t="s">
        <v>26</v>
      </c>
      <c r="G33" s="5" t="s">
        <v>93</v>
      </c>
      <c r="H33" s="5" t="s">
        <v>93</v>
      </c>
      <c r="I33" s="7" t="s">
        <v>28</v>
      </c>
      <c r="J33" s="8" t="s">
        <v>29</v>
      </c>
      <c r="K33" s="4">
        <v>46127</v>
      </c>
      <c r="L33" s="5" t="s">
        <v>94</v>
      </c>
      <c r="M33" s="8"/>
      <c r="N33" s="8"/>
      <c r="O33" s="5">
        <v>380009</v>
      </c>
      <c r="P33" s="9" t="s">
        <v>31</v>
      </c>
      <c r="Q33" s="9" t="s">
        <v>72</v>
      </c>
      <c r="R33" s="9" t="s">
        <v>41</v>
      </c>
      <c r="S33" s="9">
        <v>1</v>
      </c>
      <c r="T33" s="9" t="s">
        <v>34</v>
      </c>
      <c r="U33" s="5">
        <v>12673</v>
      </c>
      <c r="V33">
        <f t="shared" si="0"/>
        <v>12673</v>
      </c>
      <c r="W33" s="10">
        <v>0.18</v>
      </c>
      <c r="X33" s="11">
        <f t="shared" si="1"/>
        <v>2281.14</v>
      </c>
      <c r="Y33">
        <v>0</v>
      </c>
      <c r="Z33" s="11">
        <f t="shared" si="2"/>
        <v>14954.14</v>
      </c>
    </row>
    <row r="34" spans="1:26" ht="60">
      <c r="A34" s="4">
        <v>46127</v>
      </c>
      <c r="B34" s="9" t="s">
        <v>110</v>
      </c>
      <c r="C34" s="9" t="s">
        <v>110</v>
      </c>
      <c r="D34" s="9" t="s">
        <v>111</v>
      </c>
      <c r="E34" s="5" t="s">
        <v>112</v>
      </c>
      <c r="F34" s="6" t="s">
        <v>26</v>
      </c>
      <c r="G34" s="5" t="s">
        <v>113</v>
      </c>
      <c r="H34" s="5" t="s">
        <v>113</v>
      </c>
      <c r="I34" s="7" t="s">
        <v>28</v>
      </c>
      <c r="J34" s="8" t="s">
        <v>29</v>
      </c>
      <c r="K34" s="4">
        <v>46127</v>
      </c>
      <c r="L34" s="5" t="s">
        <v>114</v>
      </c>
      <c r="M34" s="8"/>
      <c r="N34" s="8"/>
      <c r="O34" s="5">
        <v>380059</v>
      </c>
      <c r="P34" s="9" t="s">
        <v>31</v>
      </c>
      <c r="Q34" s="9" t="s">
        <v>115</v>
      </c>
      <c r="R34" s="9" t="s">
        <v>41</v>
      </c>
      <c r="S34" s="9">
        <v>100</v>
      </c>
      <c r="T34" s="9" t="s">
        <v>34</v>
      </c>
      <c r="U34" s="5">
        <v>410</v>
      </c>
      <c r="V34">
        <f t="shared" si="0"/>
        <v>41000</v>
      </c>
      <c r="W34" s="10">
        <v>0.18</v>
      </c>
      <c r="X34" s="11">
        <f t="shared" si="1"/>
        <v>7380</v>
      </c>
      <c r="Y34">
        <v>0</v>
      </c>
      <c r="Z34" s="11">
        <f t="shared" si="2"/>
        <v>48380</v>
      </c>
    </row>
    <row r="35" spans="1:26" ht="60">
      <c r="A35" s="4">
        <v>46127</v>
      </c>
      <c r="B35" s="9" t="s">
        <v>110</v>
      </c>
      <c r="C35" s="9" t="s">
        <v>110</v>
      </c>
      <c r="D35" s="9" t="s">
        <v>111</v>
      </c>
      <c r="E35" s="5" t="s">
        <v>112</v>
      </c>
      <c r="F35" s="6" t="s">
        <v>26</v>
      </c>
      <c r="G35" s="5" t="s">
        <v>113</v>
      </c>
      <c r="H35" s="5" t="s">
        <v>113</v>
      </c>
      <c r="I35" s="7" t="s">
        <v>28</v>
      </c>
      <c r="J35" s="8" t="s">
        <v>29</v>
      </c>
      <c r="K35" s="4">
        <v>46127</v>
      </c>
      <c r="L35" s="5" t="s">
        <v>114</v>
      </c>
      <c r="M35" s="8"/>
      <c r="N35" s="8"/>
      <c r="O35" s="5">
        <v>380059</v>
      </c>
      <c r="P35" s="9" t="s">
        <v>31</v>
      </c>
      <c r="Q35" s="9" t="s">
        <v>116</v>
      </c>
      <c r="R35" s="9" t="s">
        <v>41</v>
      </c>
      <c r="S35" s="9">
        <v>60</v>
      </c>
      <c r="T35" s="9" t="s">
        <v>34</v>
      </c>
      <c r="U35" s="5">
        <v>1885</v>
      </c>
      <c r="V35">
        <f t="shared" si="0"/>
        <v>113100</v>
      </c>
      <c r="W35" s="10">
        <v>0.18</v>
      </c>
      <c r="X35" s="11">
        <f t="shared" si="1"/>
        <v>20358</v>
      </c>
      <c r="Y35">
        <v>0</v>
      </c>
      <c r="Z35" s="11">
        <f t="shared" si="2"/>
        <v>133458</v>
      </c>
    </row>
    <row r="36" spans="1:26" ht="30">
      <c r="A36" s="4">
        <v>46128</v>
      </c>
      <c r="B36" s="9" t="s">
        <v>42</v>
      </c>
      <c r="C36" s="9" t="s">
        <v>42</v>
      </c>
      <c r="D36" s="9" t="s">
        <v>42</v>
      </c>
      <c r="E36" s="5" t="s">
        <v>43</v>
      </c>
      <c r="F36" s="6" t="s">
        <v>26</v>
      </c>
      <c r="G36" s="5" t="s">
        <v>44</v>
      </c>
      <c r="H36" s="5" t="s">
        <v>44</v>
      </c>
      <c r="I36" s="7" t="s">
        <v>28</v>
      </c>
      <c r="J36" s="8" t="s">
        <v>29</v>
      </c>
      <c r="K36" s="4">
        <v>46128</v>
      </c>
      <c r="L36" s="5" t="s">
        <v>45</v>
      </c>
      <c r="M36" s="8"/>
      <c r="N36" s="8"/>
      <c r="O36" s="5">
        <v>600001</v>
      </c>
      <c r="P36" s="9" t="s">
        <v>31</v>
      </c>
      <c r="Q36" s="9" t="s">
        <v>46</v>
      </c>
      <c r="R36" s="9" t="s">
        <v>33</v>
      </c>
      <c r="S36" s="9">
        <v>1</v>
      </c>
      <c r="T36" s="9" t="s">
        <v>34</v>
      </c>
      <c r="U36" s="5">
        <v>28500</v>
      </c>
      <c r="V36">
        <f t="shared" si="0"/>
        <v>28500</v>
      </c>
      <c r="W36" s="10">
        <v>0.18</v>
      </c>
      <c r="X36" s="11">
        <f t="shared" si="1"/>
        <v>5130</v>
      </c>
      <c r="Y36">
        <v>0</v>
      </c>
      <c r="Z36" s="11">
        <f t="shared" si="2"/>
        <v>33630</v>
      </c>
    </row>
    <row r="37" spans="1:26" ht="75">
      <c r="A37" s="4">
        <v>46128</v>
      </c>
      <c r="B37" s="5" t="s">
        <v>35</v>
      </c>
      <c r="C37" s="5" t="s">
        <v>35</v>
      </c>
      <c r="D37" s="5" t="s">
        <v>36</v>
      </c>
      <c r="E37" s="5" t="s">
        <v>37</v>
      </c>
      <c r="F37" s="6" t="s">
        <v>26</v>
      </c>
      <c r="G37" s="5" t="s">
        <v>38</v>
      </c>
      <c r="H37" s="5" t="s">
        <v>38</v>
      </c>
      <c r="I37" s="7" t="s">
        <v>28</v>
      </c>
      <c r="J37" s="8" t="s">
        <v>29</v>
      </c>
      <c r="K37" s="4">
        <v>46128</v>
      </c>
      <c r="L37" s="5" t="s">
        <v>39</v>
      </c>
      <c r="M37" s="8"/>
      <c r="N37" s="8"/>
      <c r="O37" s="5">
        <v>380060</v>
      </c>
      <c r="P37" s="9" t="s">
        <v>31</v>
      </c>
      <c r="Q37" s="9" t="s">
        <v>32</v>
      </c>
      <c r="R37" s="9" t="s">
        <v>33</v>
      </c>
      <c r="S37" s="9">
        <v>12</v>
      </c>
      <c r="T37" s="9" t="s">
        <v>34</v>
      </c>
      <c r="U37" s="5">
        <v>10300</v>
      </c>
      <c r="V37">
        <f t="shared" si="0"/>
        <v>123600</v>
      </c>
      <c r="W37" s="10">
        <v>0.18</v>
      </c>
      <c r="X37" s="11">
        <f t="shared" si="1"/>
        <v>22248</v>
      </c>
      <c r="Y37">
        <v>0</v>
      </c>
      <c r="Z37" s="11">
        <f t="shared" si="2"/>
        <v>145848</v>
      </c>
    </row>
    <row r="38" spans="1:26" ht="90">
      <c r="A38" s="4">
        <v>46132</v>
      </c>
      <c r="B38" s="9" t="s">
        <v>117</v>
      </c>
      <c r="C38" s="9" t="s">
        <v>117</v>
      </c>
      <c r="D38" s="9" t="s">
        <v>117</v>
      </c>
      <c r="E38" s="5" t="s">
        <v>118</v>
      </c>
      <c r="F38" s="6" t="s">
        <v>26</v>
      </c>
      <c r="G38" s="5" t="s">
        <v>119</v>
      </c>
      <c r="H38" s="5" t="s">
        <v>119</v>
      </c>
      <c r="I38" s="7" t="s">
        <v>28</v>
      </c>
      <c r="J38" s="8" t="s">
        <v>29</v>
      </c>
      <c r="K38" s="4">
        <v>46132</v>
      </c>
      <c r="L38" s="5" t="s">
        <v>120</v>
      </c>
      <c r="M38" s="8"/>
      <c r="N38" s="8"/>
      <c r="O38" s="5">
        <v>390020</v>
      </c>
      <c r="P38" s="9" t="s">
        <v>31</v>
      </c>
      <c r="Q38" s="9" t="s">
        <v>32</v>
      </c>
      <c r="R38" s="9" t="s">
        <v>47</v>
      </c>
      <c r="S38" s="9">
        <v>66</v>
      </c>
      <c r="T38" s="9" t="s">
        <v>34</v>
      </c>
      <c r="U38" s="5">
        <v>9720</v>
      </c>
      <c r="V38">
        <f t="shared" si="0"/>
        <v>641520</v>
      </c>
      <c r="W38" s="10">
        <v>0.18</v>
      </c>
      <c r="X38" s="11">
        <f t="shared" si="1"/>
        <v>115473.60000000001</v>
      </c>
      <c r="Y38">
        <v>0</v>
      </c>
      <c r="Z38" s="11">
        <f t="shared" si="2"/>
        <v>756993.6</v>
      </c>
    </row>
    <row r="39" spans="1:26" ht="90">
      <c r="A39" s="4">
        <v>46132</v>
      </c>
      <c r="B39" s="9" t="s">
        <v>117</v>
      </c>
      <c r="C39" s="9" t="s">
        <v>117</v>
      </c>
      <c r="D39" s="9" t="s">
        <v>117</v>
      </c>
      <c r="E39" s="5" t="s">
        <v>118</v>
      </c>
      <c r="F39" s="6" t="s">
        <v>26</v>
      </c>
      <c r="G39" s="5" t="s">
        <v>119</v>
      </c>
      <c r="H39" s="5" t="s">
        <v>119</v>
      </c>
      <c r="I39" s="7" t="s">
        <v>28</v>
      </c>
      <c r="J39" s="8" t="s">
        <v>29</v>
      </c>
      <c r="K39" s="4">
        <v>46132</v>
      </c>
      <c r="L39" s="5" t="s">
        <v>120</v>
      </c>
      <c r="M39" s="8"/>
      <c r="N39" s="8"/>
      <c r="O39" s="5">
        <v>390020</v>
      </c>
      <c r="P39" s="9" t="s">
        <v>31</v>
      </c>
      <c r="Q39" s="9" t="s">
        <v>32</v>
      </c>
      <c r="R39" s="9" t="s">
        <v>47</v>
      </c>
      <c r="S39" s="9">
        <v>20</v>
      </c>
      <c r="T39" s="9" t="s">
        <v>34</v>
      </c>
      <c r="U39" s="5">
        <v>9720</v>
      </c>
      <c r="V39">
        <f t="shared" si="0"/>
        <v>194400</v>
      </c>
      <c r="W39" s="10">
        <v>0.18</v>
      </c>
      <c r="X39" s="11">
        <f t="shared" si="1"/>
        <v>34992</v>
      </c>
      <c r="Y39">
        <v>0</v>
      </c>
      <c r="Z39" s="11">
        <f t="shared" si="2"/>
        <v>229392</v>
      </c>
    </row>
    <row r="40" spans="1:26" ht="90">
      <c r="A40" s="4">
        <v>46132</v>
      </c>
      <c r="B40" s="9" t="s">
        <v>117</v>
      </c>
      <c r="C40" s="9" t="s">
        <v>117</v>
      </c>
      <c r="D40" s="9" t="s">
        <v>117</v>
      </c>
      <c r="E40" s="5" t="s">
        <v>118</v>
      </c>
      <c r="F40" s="6" t="s">
        <v>26</v>
      </c>
      <c r="G40" s="5" t="s">
        <v>119</v>
      </c>
      <c r="H40" s="5" t="s">
        <v>119</v>
      </c>
      <c r="I40" s="7" t="s">
        <v>28</v>
      </c>
      <c r="J40" s="8" t="s">
        <v>29</v>
      </c>
      <c r="K40" s="4">
        <v>46132</v>
      </c>
      <c r="L40" s="5" t="s">
        <v>120</v>
      </c>
      <c r="M40" s="8"/>
      <c r="N40" s="8"/>
      <c r="O40" s="5">
        <v>390020</v>
      </c>
      <c r="P40" s="9" t="s">
        <v>31</v>
      </c>
      <c r="Q40" s="9" t="s">
        <v>72</v>
      </c>
      <c r="R40" s="9" t="s">
        <v>47</v>
      </c>
      <c r="S40" s="9">
        <v>12</v>
      </c>
      <c r="T40" s="9" t="s">
        <v>34</v>
      </c>
      <c r="U40" s="5">
        <v>23880</v>
      </c>
      <c r="V40">
        <f t="shared" si="0"/>
        <v>286560</v>
      </c>
      <c r="W40" s="10">
        <v>0.18</v>
      </c>
      <c r="X40" s="11">
        <f t="shared" si="1"/>
        <v>51580.800000000003</v>
      </c>
      <c r="Y40">
        <v>0</v>
      </c>
      <c r="Z40" s="11">
        <f t="shared" si="2"/>
        <v>338140.8</v>
      </c>
    </row>
    <row r="41" spans="1:26" ht="90">
      <c r="A41" s="4">
        <v>46132</v>
      </c>
      <c r="B41" s="9" t="s">
        <v>117</v>
      </c>
      <c r="C41" s="9" t="s">
        <v>117</v>
      </c>
      <c r="D41" s="9" t="s">
        <v>117</v>
      </c>
      <c r="E41" s="5" t="s">
        <v>118</v>
      </c>
      <c r="F41" s="6" t="s">
        <v>26</v>
      </c>
      <c r="G41" s="5" t="s">
        <v>119</v>
      </c>
      <c r="H41" s="5" t="s">
        <v>119</v>
      </c>
      <c r="I41" s="7" t="s">
        <v>28</v>
      </c>
      <c r="J41" s="8" t="s">
        <v>29</v>
      </c>
      <c r="K41" s="4">
        <v>46132</v>
      </c>
      <c r="L41" s="5" t="s">
        <v>120</v>
      </c>
      <c r="M41" s="8"/>
      <c r="N41" s="8"/>
      <c r="O41" s="5">
        <v>390020</v>
      </c>
      <c r="P41" s="9" t="s">
        <v>31</v>
      </c>
      <c r="Q41" s="9" t="s">
        <v>72</v>
      </c>
      <c r="R41" s="9" t="s">
        <v>47</v>
      </c>
      <c r="S41" s="9">
        <v>13</v>
      </c>
      <c r="T41" s="9" t="s">
        <v>34</v>
      </c>
      <c r="U41" s="5">
        <v>23880</v>
      </c>
      <c r="V41">
        <f t="shared" si="0"/>
        <v>310440</v>
      </c>
      <c r="W41" s="10">
        <v>0.18</v>
      </c>
      <c r="X41" s="11">
        <f t="shared" si="1"/>
        <v>55879.199999999997</v>
      </c>
      <c r="Y41">
        <v>0</v>
      </c>
      <c r="Z41" s="11">
        <f t="shared" si="2"/>
        <v>366319.2</v>
      </c>
    </row>
    <row r="42" spans="1:26" ht="90">
      <c r="A42" s="4">
        <v>46132</v>
      </c>
      <c r="B42" s="9" t="s">
        <v>117</v>
      </c>
      <c r="C42" s="9" t="s">
        <v>117</v>
      </c>
      <c r="D42" s="9" t="s">
        <v>117</v>
      </c>
      <c r="E42" s="5" t="s">
        <v>118</v>
      </c>
      <c r="F42" s="6" t="s">
        <v>26</v>
      </c>
      <c r="G42" s="5" t="s">
        <v>119</v>
      </c>
      <c r="H42" s="5" t="s">
        <v>119</v>
      </c>
      <c r="I42" s="7" t="s">
        <v>28</v>
      </c>
      <c r="J42" s="8" t="s">
        <v>29</v>
      </c>
      <c r="K42" s="4">
        <v>46132</v>
      </c>
      <c r="L42" s="5" t="s">
        <v>120</v>
      </c>
      <c r="M42" s="8"/>
      <c r="N42" s="8"/>
      <c r="O42" s="5">
        <v>390020</v>
      </c>
      <c r="P42" s="9" t="s">
        <v>31</v>
      </c>
      <c r="Q42" s="9" t="s">
        <v>77</v>
      </c>
      <c r="R42" s="9" t="s">
        <v>47</v>
      </c>
      <c r="S42" s="9">
        <v>11</v>
      </c>
      <c r="T42" s="9" t="s">
        <v>34</v>
      </c>
      <c r="U42" s="5">
        <v>47790</v>
      </c>
      <c r="V42">
        <f t="shared" si="0"/>
        <v>525690</v>
      </c>
      <c r="W42" s="10">
        <v>0.18</v>
      </c>
      <c r="X42" s="11">
        <f t="shared" si="1"/>
        <v>94624.2</v>
      </c>
      <c r="Y42">
        <v>0</v>
      </c>
      <c r="Z42" s="11">
        <f t="shared" si="2"/>
        <v>620314.19999999995</v>
      </c>
    </row>
    <row r="43" spans="1:26" ht="90">
      <c r="A43" s="4">
        <v>46132</v>
      </c>
      <c r="B43" s="9" t="s">
        <v>117</v>
      </c>
      <c r="C43" s="9" t="s">
        <v>117</v>
      </c>
      <c r="D43" s="9" t="s">
        <v>117</v>
      </c>
      <c r="E43" s="5" t="s">
        <v>118</v>
      </c>
      <c r="F43" s="6" t="s">
        <v>26</v>
      </c>
      <c r="G43" s="5" t="s">
        <v>119</v>
      </c>
      <c r="H43" s="5" t="s">
        <v>119</v>
      </c>
      <c r="I43" s="7" t="s">
        <v>28</v>
      </c>
      <c r="J43" s="8" t="s">
        <v>29</v>
      </c>
      <c r="K43" s="4">
        <v>46132</v>
      </c>
      <c r="L43" s="5" t="s">
        <v>120</v>
      </c>
      <c r="M43" s="8"/>
      <c r="N43" s="8"/>
      <c r="O43" s="5">
        <v>390020</v>
      </c>
      <c r="P43" s="9" t="s">
        <v>57</v>
      </c>
      <c r="Q43" s="9" t="s">
        <v>121</v>
      </c>
      <c r="R43" s="9" t="s">
        <v>47</v>
      </c>
      <c r="S43" s="9">
        <v>55</v>
      </c>
      <c r="T43" s="9" t="s">
        <v>34</v>
      </c>
      <c r="U43" s="5">
        <v>17400</v>
      </c>
      <c r="V43">
        <f t="shared" si="0"/>
        <v>957000</v>
      </c>
      <c r="W43" s="10">
        <v>0.18</v>
      </c>
      <c r="X43" s="11">
        <f t="shared" si="1"/>
        <v>172260</v>
      </c>
      <c r="Y43">
        <v>0</v>
      </c>
      <c r="Z43" s="11">
        <f t="shared" si="2"/>
        <v>1129260</v>
      </c>
    </row>
    <row r="44" spans="1:26" ht="90">
      <c r="A44" s="4">
        <v>46132</v>
      </c>
      <c r="B44" s="9" t="s">
        <v>117</v>
      </c>
      <c r="C44" s="9" t="s">
        <v>117</v>
      </c>
      <c r="D44" s="9" t="s">
        <v>117</v>
      </c>
      <c r="E44" s="5" t="s">
        <v>118</v>
      </c>
      <c r="F44" s="6" t="s">
        <v>26</v>
      </c>
      <c r="G44" s="5" t="s">
        <v>119</v>
      </c>
      <c r="H44" s="5" t="s">
        <v>119</v>
      </c>
      <c r="I44" s="7" t="s">
        <v>28</v>
      </c>
      <c r="J44" s="8" t="s">
        <v>29</v>
      </c>
      <c r="K44" s="4">
        <v>46132</v>
      </c>
      <c r="L44" s="5" t="s">
        <v>120</v>
      </c>
      <c r="M44" s="8"/>
      <c r="N44" s="8"/>
      <c r="O44" s="5">
        <v>390020</v>
      </c>
      <c r="P44" s="9" t="s">
        <v>57</v>
      </c>
      <c r="Q44" s="9" t="s">
        <v>121</v>
      </c>
      <c r="R44" s="9" t="s">
        <v>47</v>
      </c>
      <c r="S44" s="9">
        <v>45</v>
      </c>
      <c r="T44" s="9" t="s">
        <v>34</v>
      </c>
      <c r="U44" s="5">
        <v>17400</v>
      </c>
      <c r="V44">
        <f t="shared" si="0"/>
        <v>783000</v>
      </c>
      <c r="W44" s="10">
        <v>0.18</v>
      </c>
      <c r="X44" s="11">
        <f t="shared" si="1"/>
        <v>140940</v>
      </c>
      <c r="Y44">
        <v>0</v>
      </c>
      <c r="Z44" s="11">
        <f t="shared" si="2"/>
        <v>923940</v>
      </c>
    </row>
    <row r="45" spans="1:26" ht="90">
      <c r="A45" s="4">
        <v>46132</v>
      </c>
      <c r="B45" s="9" t="s">
        <v>117</v>
      </c>
      <c r="C45" s="9" t="s">
        <v>117</v>
      </c>
      <c r="D45" s="9" t="s">
        <v>117</v>
      </c>
      <c r="E45" s="5" t="s">
        <v>118</v>
      </c>
      <c r="F45" s="6" t="s">
        <v>26</v>
      </c>
      <c r="G45" s="5" t="s">
        <v>119</v>
      </c>
      <c r="H45" s="5" t="s">
        <v>119</v>
      </c>
      <c r="I45" s="7" t="s">
        <v>28</v>
      </c>
      <c r="J45" s="8" t="s">
        <v>29</v>
      </c>
      <c r="K45" s="4">
        <v>46132</v>
      </c>
      <c r="L45" s="5" t="s">
        <v>120</v>
      </c>
      <c r="M45" s="8"/>
      <c r="N45" s="8"/>
      <c r="O45" s="5">
        <v>390020</v>
      </c>
      <c r="P45" s="9" t="s">
        <v>57</v>
      </c>
      <c r="Q45" s="9" t="s">
        <v>51</v>
      </c>
      <c r="R45" s="9" t="s">
        <v>47</v>
      </c>
      <c r="S45" s="9">
        <v>8</v>
      </c>
      <c r="T45" s="9" t="s">
        <v>34</v>
      </c>
      <c r="U45" s="5">
        <v>12960</v>
      </c>
      <c r="V45">
        <f t="shared" si="0"/>
        <v>103680</v>
      </c>
      <c r="W45" s="10">
        <v>0.18</v>
      </c>
      <c r="X45" s="11">
        <f t="shared" si="1"/>
        <v>18662.400000000001</v>
      </c>
      <c r="Y45">
        <v>0</v>
      </c>
      <c r="Z45" s="11">
        <f t="shared" si="2"/>
        <v>122342.39999999999</v>
      </c>
    </row>
    <row r="46" spans="1:26" ht="90">
      <c r="A46" s="4">
        <v>46132</v>
      </c>
      <c r="B46" s="9" t="s">
        <v>117</v>
      </c>
      <c r="C46" s="9" t="s">
        <v>117</v>
      </c>
      <c r="D46" s="9" t="s">
        <v>117</v>
      </c>
      <c r="E46" s="5" t="s">
        <v>118</v>
      </c>
      <c r="F46" s="6" t="s">
        <v>26</v>
      </c>
      <c r="G46" s="5" t="s">
        <v>119</v>
      </c>
      <c r="H46" s="5" t="s">
        <v>119</v>
      </c>
      <c r="I46" s="7" t="s">
        <v>28</v>
      </c>
      <c r="J46" s="8" t="s">
        <v>29</v>
      </c>
      <c r="K46" s="4">
        <v>46132</v>
      </c>
      <c r="L46" s="5" t="s">
        <v>120</v>
      </c>
      <c r="M46" s="8"/>
      <c r="N46" s="8"/>
      <c r="O46" s="5">
        <v>390020</v>
      </c>
      <c r="P46" s="9" t="s">
        <v>57</v>
      </c>
      <c r="Q46" s="9" t="s">
        <v>72</v>
      </c>
      <c r="R46" s="9" t="s">
        <v>47</v>
      </c>
      <c r="S46" s="9">
        <v>27</v>
      </c>
      <c r="T46" s="9" t="s">
        <v>34</v>
      </c>
      <c r="U46" s="5">
        <v>23880</v>
      </c>
      <c r="V46">
        <f t="shared" si="0"/>
        <v>644760</v>
      </c>
      <c r="W46" s="10">
        <v>0.18</v>
      </c>
      <c r="X46" s="11">
        <f t="shared" si="1"/>
        <v>116056.8</v>
      </c>
      <c r="Y46">
        <v>0</v>
      </c>
      <c r="Z46" s="11">
        <f t="shared" si="2"/>
        <v>760816.8</v>
      </c>
    </row>
    <row r="47" spans="1:26" ht="90">
      <c r="A47" s="4">
        <v>46132</v>
      </c>
      <c r="B47" s="9" t="s">
        <v>117</v>
      </c>
      <c r="C47" s="9" t="s">
        <v>117</v>
      </c>
      <c r="D47" s="9" t="s">
        <v>117</v>
      </c>
      <c r="E47" s="5" t="s">
        <v>118</v>
      </c>
      <c r="F47" s="6" t="s">
        <v>26</v>
      </c>
      <c r="G47" s="5" t="s">
        <v>119</v>
      </c>
      <c r="H47" s="5" t="s">
        <v>119</v>
      </c>
      <c r="I47" s="7" t="s">
        <v>28</v>
      </c>
      <c r="J47" s="8" t="s">
        <v>29</v>
      </c>
      <c r="K47" s="4">
        <v>46132</v>
      </c>
      <c r="L47" s="5" t="s">
        <v>120</v>
      </c>
      <c r="M47" s="8"/>
      <c r="N47" s="8"/>
      <c r="O47" s="5">
        <v>390020</v>
      </c>
      <c r="P47" s="9" t="s">
        <v>57</v>
      </c>
      <c r="Q47" s="9" t="s">
        <v>122</v>
      </c>
      <c r="R47" s="9" t="s">
        <v>47</v>
      </c>
      <c r="S47" s="9">
        <v>19</v>
      </c>
      <c r="T47" s="9" t="s">
        <v>34</v>
      </c>
      <c r="U47" s="5">
        <v>23400</v>
      </c>
      <c r="V47">
        <f t="shared" si="0"/>
        <v>444600</v>
      </c>
      <c r="W47" s="10">
        <v>0.18</v>
      </c>
      <c r="X47" s="11">
        <f t="shared" si="1"/>
        <v>80028</v>
      </c>
      <c r="Y47">
        <v>0</v>
      </c>
      <c r="Z47" s="11">
        <f t="shared" si="2"/>
        <v>524628</v>
      </c>
    </row>
    <row r="48" spans="1:26" ht="90">
      <c r="A48" s="4">
        <v>46132</v>
      </c>
      <c r="B48" s="9" t="s">
        <v>117</v>
      </c>
      <c r="C48" s="9" t="s">
        <v>117</v>
      </c>
      <c r="D48" s="9" t="s">
        <v>117</v>
      </c>
      <c r="E48" s="5" t="s">
        <v>118</v>
      </c>
      <c r="F48" s="6" t="s">
        <v>26</v>
      </c>
      <c r="G48" s="5" t="s">
        <v>119</v>
      </c>
      <c r="H48" s="5" t="s">
        <v>119</v>
      </c>
      <c r="I48" s="7" t="s">
        <v>28</v>
      </c>
      <c r="J48" s="8" t="s">
        <v>29</v>
      </c>
      <c r="K48" s="4">
        <v>46132</v>
      </c>
      <c r="L48" s="5" t="s">
        <v>120</v>
      </c>
      <c r="M48" s="8"/>
      <c r="N48" s="8"/>
      <c r="O48" s="5">
        <v>390020</v>
      </c>
      <c r="P48" s="9" t="s">
        <v>57</v>
      </c>
      <c r="Q48" s="9" t="s">
        <v>122</v>
      </c>
      <c r="R48" s="9" t="s">
        <v>47</v>
      </c>
      <c r="S48" s="9">
        <v>1</v>
      </c>
      <c r="T48" s="9" t="s">
        <v>34</v>
      </c>
      <c r="U48" s="5">
        <v>23400</v>
      </c>
      <c r="V48">
        <f t="shared" si="0"/>
        <v>23400</v>
      </c>
      <c r="W48" s="10">
        <v>0.18</v>
      </c>
      <c r="X48" s="11">
        <f t="shared" si="1"/>
        <v>4212</v>
      </c>
      <c r="Y48">
        <v>0</v>
      </c>
      <c r="Z48" s="11">
        <f t="shared" si="2"/>
        <v>27612</v>
      </c>
    </row>
    <row r="49" spans="1:26" ht="30">
      <c r="A49" s="4">
        <v>46132</v>
      </c>
      <c r="B49" s="9" t="s">
        <v>42</v>
      </c>
      <c r="C49" s="9" t="s">
        <v>42</v>
      </c>
      <c r="D49" s="9" t="s">
        <v>42</v>
      </c>
      <c r="E49" s="5" t="s">
        <v>43</v>
      </c>
      <c r="F49" s="6" t="s">
        <v>26</v>
      </c>
      <c r="G49" s="5" t="s">
        <v>44</v>
      </c>
      <c r="H49" s="5" t="s">
        <v>44</v>
      </c>
      <c r="I49" s="7" t="s">
        <v>28</v>
      </c>
      <c r="J49" s="8" t="s">
        <v>29</v>
      </c>
      <c r="K49" s="4">
        <v>46132</v>
      </c>
      <c r="L49" s="5" t="s">
        <v>45</v>
      </c>
      <c r="M49" s="8"/>
      <c r="N49" s="8"/>
      <c r="O49" s="5">
        <v>600001</v>
      </c>
      <c r="P49" s="9" t="s">
        <v>31</v>
      </c>
      <c r="Q49" s="9" t="s">
        <v>32</v>
      </c>
      <c r="R49" s="9" t="s">
        <v>47</v>
      </c>
      <c r="S49" s="9">
        <v>1</v>
      </c>
      <c r="T49" s="9" t="s">
        <v>34</v>
      </c>
      <c r="U49" s="5">
        <v>16200</v>
      </c>
      <c r="V49">
        <f t="shared" si="0"/>
        <v>16200</v>
      </c>
      <c r="W49" s="10">
        <v>0.18</v>
      </c>
      <c r="X49" s="11">
        <f t="shared" si="1"/>
        <v>2916</v>
      </c>
      <c r="Y49">
        <v>0</v>
      </c>
      <c r="Z49" s="11">
        <f t="shared" si="2"/>
        <v>19116</v>
      </c>
    </row>
    <row r="50" spans="1:26" ht="30">
      <c r="A50" s="4">
        <v>46132</v>
      </c>
      <c r="B50" s="9" t="s">
        <v>42</v>
      </c>
      <c r="C50" s="9" t="s">
        <v>42</v>
      </c>
      <c r="D50" s="9" t="s">
        <v>42</v>
      </c>
      <c r="E50" s="5" t="s">
        <v>43</v>
      </c>
      <c r="F50" s="6" t="s">
        <v>26</v>
      </c>
      <c r="G50" s="5" t="s">
        <v>44</v>
      </c>
      <c r="H50" s="5" t="s">
        <v>44</v>
      </c>
      <c r="I50" s="7" t="s">
        <v>28</v>
      </c>
      <c r="J50" s="8" t="s">
        <v>29</v>
      </c>
      <c r="K50" s="4">
        <v>46132</v>
      </c>
      <c r="L50" s="5" t="s">
        <v>45</v>
      </c>
      <c r="M50" s="8"/>
      <c r="N50" s="8"/>
      <c r="O50" s="5">
        <v>600001</v>
      </c>
      <c r="P50" s="9" t="s">
        <v>31</v>
      </c>
      <c r="Q50" s="9" t="s">
        <v>32</v>
      </c>
      <c r="R50" s="9" t="s">
        <v>47</v>
      </c>
      <c r="S50" s="9">
        <v>1</v>
      </c>
      <c r="T50" s="9" t="s">
        <v>34</v>
      </c>
      <c r="U50" s="5">
        <v>100</v>
      </c>
      <c r="V50">
        <f t="shared" si="0"/>
        <v>100</v>
      </c>
      <c r="W50" s="10">
        <v>0.18</v>
      </c>
      <c r="X50" s="11">
        <f t="shared" si="1"/>
        <v>18</v>
      </c>
      <c r="Y50">
        <v>0</v>
      </c>
      <c r="Z50" s="11">
        <f t="shared" si="2"/>
        <v>118</v>
      </c>
    </row>
    <row r="51" spans="1:26" ht="60">
      <c r="A51" s="4">
        <v>46133</v>
      </c>
      <c r="B51" s="5" t="s">
        <v>35</v>
      </c>
      <c r="C51" s="5" t="s">
        <v>35</v>
      </c>
      <c r="D51" s="5" t="s">
        <v>123</v>
      </c>
      <c r="E51" s="5" t="s">
        <v>124</v>
      </c>
      <c r="F51" s="6" t="s">
        <v>26</v>
      </c>
      <c r="G51" s="5" t="s">
        <v>125</v>
      </c>
      <c r="H51" s="5" t="s">
        <v>125</v>
      </c>
      <c r="I51" s="7" t="s">
        <v>28</v>
      </c>
      <c r="J51" s="8" t="s">
        <v>29</v>
      </c>
      <c r="K51" s="4">
        <v>46133</v>
      </c>
      <c r="L51" s="5" t="s">
        <v>126</v>
      </c>
      <c r="M51" s="8"/>
      <c r="N51" s="8"/>
      <c r="O51" s="5">
        <v>380060</v>
      </c>
      <c r="P51" s="9" t="s">
        <v>58</v>
      </c>
      <c r="Q51" s="9" t="s">
        <v>127</v>
      </c>
      <c r="R51" s="9" t="s">
        <v>90</v>
      </c>
      <c r="S51" s="9">
        <v>1</v>
      </c>
      <c r="T51" s="9" t="s">
        <v>67</v>
      </c>
      <c r="U51" s="5">
        <v>8950</v>
      </c>
      <c r="V51">
        <f t="shared" si="0"/>
        <v>8950</v>
      </c>
      <c r="W51" s="10">
        <v>0.18</v>
      </c>
      <c r="X51" s="11">
        <f t="shared" si="1"/>
        <v>1611</v>
      </c>
      <c r="Y51">
        <v>0</v>
      </c>
      <c r="Z51" s="11">
        <f t="shared" si="2"/>
        <v>10561</v>
      </c>
    </row>
    <row r="52" spans="1:26" ht="90">
      <c r="A52" s="4">
        <v>46133</v>
      </c>
      <c r="B52" s="9" t="s">
        <v>128</v>
      </c>
      <c r="C52" s="9" t="s">
        <v>128</v>
      </c>
      <c r="D52" s="9" t="s">
        <v>128</v>
      </c>
      <c r="E52" s="5" t="s">
        <v>129</v>
      </c>
      <c r="F52" s="6" t="s">
        <v>26</v>
      </c>
      <c r="G52" s="5" t="s">
        <v>130</v>
      </c>
      <c r="H52" s="5" t="s">
        <v>130</v>
      </c>
      <c r="I52" s="7" t="s">
        <v>28</v>
      </c>
      <c r="J52" s="8" t="s">
        <v>29</v>
      </c>
      <c r="K52" s="4">
        <v>46133</v>
      </c>
      <c r="L52" s="5" t="s">
        <v>131</v>
      </c>
      <c r="M52" s="8"/>
      <c r="N52" s="8"/>
      <c r="O52" s="5">
        <v>380015</v>
      </c>
      <c r="P52" s="9" t="s">
        <v>31</v>
      </c>
      <c r="Q52" s="9" t="s">
        <v>132</v>
      </c>
      <c r="R52" s="5" t="s">
        <v>90</v>
      </c>
      <c r="S52" s="9">
        <v>9</v>
      </c>
      <c r="T52" s="9" t="s">
        <v>67</v>
      </c>
      <c r="U52" s="5">
        <v>378</v>
      </c>
      <c r="V52">
        <f t="shared" si="0"/>
        <v>3402</v>
      </c>
      <c r="W52" s="10">
        <v>0.18</v>
      </c>
      <c r="X52" s="11">
        <f t="shared" si="1"/>
        <v>612.36</v>
      </c>
      <c r="Y52">
        <v>0</v>
      </c>
      <c r="Z52" s="11">
        <f t="shared" si="2"/>
        <v>4014.36</v>
      </c>
    </row>
    <row r="53" spans="1:26" ht="90">
      <c r="A53" s="4">
        <v>46133</v>
      </c>
      <c r="B53" s="9" t="s">
        <v>128</v>
      </c>
      <c r="C53" s="9" t="s">
        <v>128</v>
      </c>
      <c r="D53" s="9" t="s">
        <v>128</v>
      </c>
      <c r="E53" s="5" t="s">
        <v>129</v>
      </c>
      <c r="F53" s="6" t="s">
        <v>26</v>
      </c>
      <c r="G53" s="5" t="s">
        <v>130</v>
      </c>
      <c r="H53" s="5" t="s">
        <v>130</v>
      </c>
      <c r="I53" s="7" t="s">
        <v>28</v>
      </c>
      <c r="J53" s="8" t="s">
        <v>29</v>
      </c>
      <c r="K53" s="4">
        <v>46133</v>
      </c>
      <c r="L53" s="5" t="s">
        <v>131</v>
      </c>
      <c r="M53" s="8"/>
      <c r="N53" s="8"/>
      <c r="O53" s="5">
        <v>380015</v>
      </c>
      <c r="P53" s="9" t="s">
        <v>31</v>
      </c>
      <c r="Q53" s="9" t="s">
        <v>133</v>
      </c>
      <c r="R53" s="5" t="s">
        <v>90</v>
      </c>
      <c r="S53" s="9">
        <v>4</v>
      </c>
      <c r="T53" s="9" t="s">
        <v>67</v>
      </c>
      <c r="U53" s="5">
        <v>2130</v>
      </c>
      <c r="V53">
        <f t="shared" si="0"/>
        <v>8520</v>
      </c>
      <c r="W53" s="10">
        <v>0.18</v>
      </c>
      <c r="X53" s="11">
        <f t="shared" si="1"/>
        <v>1533.6</v>
      </c>
      <c r="Y53">
        <v>0</v>
      </c>
      <c r="Z53" s="11">
        <f t="shared" si="2"/>
        <v>10053.6</v>
      </c>
    </row>
    <row r="54" spans="1:26" ht="60">
      <c r="A54" s="4">
        <v>46134</v>
      </c>
      <c r="B54" s="9" t="s">
        <v>134</v>
      </c>
      <c r="C54" s="9" t="s">
        <v>134</v>
      </c>
      <c r="D54" s="9" t="s">
        <v>134</v>
      </c>
      <c r="E54" s="5" t="s">
        <v>135</v>
      </c>
      <c r="F54" s="6" t="s">
        <v>26</v>
      </c>
      <c r="G54" s="5" t="s">
        <v>136</v>
      </c>
      <c r="H54" s="5" t="s">
        <v>136</v>
      </c>
      <c r="I54" s="7" t="s">
        <v>28</v>
      </c>
      <c r="J54" s="8" t="s">
        <v>29</v>
      </c>
      <c r="K54" s="4">
        <v>46134</v>
      </c>
      <c r="L54" s="5" t="s">
        <v>137</v>
      </c>
      <c r="M54" s="8"/>
      <c r="N54" s="8"/>
      <c r="O54" s="5">
        <v>380008</v>
      </c>
      <c r="P54" s="9" t="s">
        <v>31</v>
      </c>
      <c r="Q54" s="9" t="s">
        <v>52</v>
      </c>
      <c r="R54" s="9" t="s">
        <v>41</v>
      </c>
      <c r="S54" s="9">
        <v>4</v>
      </c>
      <c r="T54" s="9" t="s">
        <v>34</v>
      </c>
      <c r="U54" s="5">
        <v>2200</v>
      </c>
      <c r="V54">
        <f t="shared" si="0"/>
        <v>8800</v>
      </c>
      <c r="W54" s="10">
        <v>0.18</v>
      </c>
      <c r="X54" s="11">
        <f t="shared" si="1"/>
        <v>1584</v>
      </c>
      <c r="Y54">
        <v>0</v>
      </c>
      <c r="Z54" s="11">
        <f t="shared" si="2"/>
        <v>10384</v>
      </c>
    </row>
    <row r="55" spans="1:26" ht="60">
      <c r="A55" s="4">
        <v>46134</v>
      </c>
      <c r="B55" s="9" t="s">
        <v>134</v>
      </c>
      <c r="C55" s="9" t="s">
        <v>134</v>
      </c>
      <c r="D55" s="9" t="s">
        <v>134</v>
      </c>
      <c r="E55" s="5" t="s">
        <v>135</v>
      </c>
      <c r="F55" s="6" t="s">
        <v>26</v>
      </c>
      <c r="G55" s="5" t="s">
        <v>136</v>
      </c>
      <c r="H55" s="5" t="s">
        <v>136</v>
      </c>
      <c r="I55" s="7" t="s">
        <v>28</v>
      </c>
      <c r="J55" s="8" t="s">
        <v>29</v>
      </c>
      <c r="K55" s="4">
        <v>46134</v>
      </c>
      <c r="L55" s="5" t="s">
        <v>137</v>
      </c>
      <c r="M55" s="8"/>
      <c r="N55" s="8"/>
      <c r="O55" s="5">
        <v>380008</v>
      </c>
      <c r="P55" s="9" t="s">
        <v>31</v>
      </c>
      <c r="Q55" s="9" t="s">
        <v>138</v>
      </c>
      <c r="R55" s="9" t="s">
        <v>41</v>
      </c>
      <c r="S55" s="9">
        <v>2</v>
      </c>
      <c r="T55" s="9" t="s">
        <v>34</v>
      </c>
      <c r="U55" s="5">
        <v>6000</v>
      </c>
      <c r="V55">
        <f t="shared" ref="V55:V114" si="3">U55*S55</f>
        <v>12000</v>
      </c>
      <c r="W55" s="10">
        <v>0.18</v>
      </c>
      <c r="X55" s="11">
        <f t="shared" ref="X55:X114" si="4">V55*W55</f>
        <v>2160</v>
      </c>
      <c r="Y55">
        <v>0</v>
      </c>
      <c r="Z55" s="11">
        <f t="shared" ref="Z55:Z114" si="5">V55+X55</f>
        <v>14160</v>
      </c>
    </row>
    <row r="56" spans="1:26" ht="60">
      <c r="A56" s="4">
        <v>46134</v>
      </c>
      <c r="B56" s="9" t="s">
        <v>134</v>
      </c>
      <c r="C56" s="9" t="s">
        <v>134</v>
      </c>
      <c r="D56" s="9" t="s">
        <v>134</v>
      </c>
      <c r="E56" s="5" t="s">
        <v>135</v>
      </c>
      <c r="F56" s="6" t="s">
        <v>26</v>
      </c>
      <c r="G56" s="5" t="s">
        <v>136</v>
      </c>
      <c r="H56" s="5" t="s">
        <v>136</v>
      </c>
      <c r="I56" s="7" t="s">
        <v>28</v>
      </c>
      <c r="J56" s="8" t="s">
        <v>29</v>
      </c>
      <c r="K56" s="4">
        <v>46134</v>
      </c>
      <c r="L56" s="5" t="s">
        <v>137</v>
      </c>
      <c r="M56" s="8"/>
      <c r="N56" s="8"/>
      <c r="O56" s="5">
        <v>380008</v>
      </c>
      <c r="P56" s="9" t="s">
        <v>31</v>
      </c>
      <c r="Q56" s="9" t="s">
        <v>32</v>
      </c>
      <c r="R56" s="9" t="s">
        <v>41</v>
      </c>
      <c r="S56" s="9">
        <v>1</v>
      </c>
      <c r="T56" s="9" t="s">
        <v>34</v>
      </c>
      <c r="U56" s="5">
        <v>6350</v>
      </c>
      <c r="V56">
        <f t="shared" si="3"/>
        <v>6350</v>
      </c>
      <c r="W56" s="10">
        <v>0.18</v>
      </c>
      <c r="X56" s="11">
        <f t="shared" si="4"/>
        <v>1143</v>
      </c>
      <c r="Y56">
        <v>0</v>
      </c>
      <c r="Z56" s="11">
        <f t="shared" si="5"/>
        <v>7493</v>
      </c>
    </row>
    <row r="57" spans="1:26" ht="60">
      <c r="A57" s="4">
        <v>46134</v>
      </c>
      <c r="B57" s="9" t="s">
        <v>134</v>
      </c>
      <c r="C57" s="9" t="s">
        <v>134</v>
      </c>
      <c r="D57" s="9" t="s">
        <v>134</v>
      </c>
      <c r="E57" s="5" t="s">
        <v>135</v>
      </c>
      <c r="F57" s="6" t="s">
        <v>26</v>
      </c>
      <c r="G57" s="5" t="s">
        <v>136</v>
      </c>
      <c r="H57" s="5" t="s">
        <v>136</v>
      </c>
      <c r="I57" s="7" t="s">
        <v>28</v>
      </c>
      <c r="J57" s="8" t="s">
        <v>29</v>
      </c>
      <c r="K57" s="4">
        <v>46134</v>
      </c>
      <c r="L57" s="5" t="s">
        <v>137</v>
      </c>
      <c r="M57" s="8"/>
      <c r="N57" s="8"/>
      <c r="O57" s="5">
        <v>380008</v>
      </c>
      <c r="P57" s="9" t="s">
        <v>31</v>
      </c>
      <c r="Q57" s="9" t="s">
        <v>72</v>
      </c>
      <c r="R57" s="9" t="s">
        <v>90</v>
      </c>
      <c r="S57" s="9">
        <v>1</v>
      </c>
      <c r="T57" s="9" t="s">
        <v>34</v>
      </c>
      <c r="U57" s="5">
        <v>16900</v>
      </c>
      <c r="V57">
        <f t="shared" si="3"/>
        <v>16900</v>
      </c>
      <c r="W57" s="10">
        <v>0.18</v>
      </c>
      <c r="X57" s="11">
        <f t="shared" si="4"/>
        <v>3042</v>
      </c>
      <c r="Y57">
        <v>0</v>
      </c>
      <c r="Z57" s="11">
        <f t="shared" si="5"/>
        <v>19942</v>
      </c>
    </row>
    <row r="58" spans="1:26" ht="60">
      <c r="A58" s="4">
        <v>46135</v>
      </c>
      <c r="B58" s="5" t="s">
        <v>35</v>
      </c>
      <c r="C58" s="5" t="s">
        <v>35</v>
      </c>
      <c r="D58" s="5" t="s">
        <v>123</v>
      </c>
      <c r="E58" s="5" t="s">
        <v>124</v>
      </c>
      <c r="F58" s="6" t="s">
        <v>26</v>
      </c>
      <c r="G58" s="5" t="s">
        <v>125</v>
      </c>
      <c r="H58" s="5" t="s">
        <v>125</v>
      </c>
      <c r="I58" s="7" t="s">
        <v>28</v>
      </c>
      <c r="J58" s="8" t="s">
        <v>29</v>
      </c>
      <c r="K58" s="4">
        <v>46135</v>
      </c>
      <c r="L58" s="5" t="s">
        <v>126</v>
      </c>
      <c r="M58" s="8"/>
      <c r="N58" s="8"/>
      <c r="O58" s="5">
        <v>380060</v>
      </c>
      <c r="P58" s="9" t="s">
        <v>58</v>
      </c>
      <c r="Q58" s="9" t="s">
        <v>32</v>
      </c>
      <c r="R58" s="9" t="s">
        <v>50</v>
      </c>
      <c r="S58" s="9">
        <v>3</v>
      </c>
      <c r="T58" s="9" t="s">
        <v>67</v>
      </c>
      <c r="U58" s="5">
        <v>15650</v>
      </c>
      <c r="V58">
        <f t="shared" si="3"/>
        <v>46950</v>
      </c>
      <c r="W58" s="10">
        <v>0.18</v>
      </c>
      <c r="X58" s="11">
        <f t="shared" si="4"/>
        <v>8451</v>
      </c>
      <c r="Y58">
        <v>0</v>
      </c>
      <c r="Z58" s="11">
        <f t="shared" si="5"/>
        <v>55401</v>
      </c>
    </row>
    <row r="59" spans="1:26" ht="75">
      <c r="A59" s="4">
        <v>46136</v>
      </c>
      <c r="B59" s="9" t="s">
        <v>139</v>
      </c>
      <c r="C59" s="9" t="s">
        <v>139</v>
      </c>
      <c r="D59" s="9" t="s">
        <v>139</v>
      </c>
      <c r="E59" s="5" t="s">
        <v>140</v>
      </c>
      <c r="F59" s="6" t="s">
        <v>26</v>
      </c>
      <c r="G59" s="5" t="s">
        <v>141</v>
      </c>
      <c r="H59" s="5" t="s">
        <v>141</v>
      </c>
      <c r="I59" s="7" t="s">
        <v>28</v>
      </c>
      <c r="J59" s="8" t="s">
        <v>29</v>
      </c>
      <c r="K59" s="4">
        <v>46136</v>
      </c>
      <c r="L59" s="5" t="s">
        <v>142</v>
      </c>
      <c r="M59" s="8"/>
      <c r="N59" s="8"/>
      <c r="O59" s="5">
        <v>361001</v>
      </c>
      <c r="P59" s="9" t="s">
        <v>143</v>
      </c>
      <c r="Q59" s="9" t="s">
        <v>138</v>
      </c>
      <c r="R59" s="9" t="s">
        <v>47</v>
      </c>
      <c r="S59" s="9">
        <v>294</v>
      </c>
      <c r="T59" s="9" t="s">
        <v>34</v>
      </c>
      <c r="U59" s="5">
        <v>4433</v>
      </c>
      <c r="V59">
        <f t="shared" si="3"/>
        <v>1303302</v>
      </c>
      <c r="W59" s="10">
        <v>0.18</v>
      </c>
      <c r="X59" s="11">
        <f t="shared" si="4"/>
        <v>234594.36</v>
      </c>
      <c r="Y59">
        <v>0</v>
      </c>
      <c r="Z59" s="11">
        <f t="shared" si="5"/>
        <v>1537896.36</v>
      </c>
    </row>
    <row r="60" spans="1:26" ht="90">
      <c r="A60" s="4">
        <v>46137</v>
      </c>
      <c r="B60" s="9" t="s">
        <v>117</v>
      </c>
      <c r="C60" s="9" t="s">
        <v>117</v>
      </c>
      <c r="D60" s="9" t="s">
        <v>117</v>
      </c>
      <c r="E60" s="5" t="s">
        <v>118</v>
      </c>
      <c r="F60" s="6" t="s">
        <v>26</v>
      </c>
      <c r="G60" s="5" t="s">
        <v>119</v>
      </c>
      <c r="H60" s="5" t="s">
        <v>119</v>
      </c>
      <c r="I60" s="7" t="s">
        <v>28</v>
      </c>
      <c r="J60" s="8" t="s">
        <v>29</v>
      </c>
      <c r="K60" s="4">
        <v>46137</v>
      </c>
      <c r="L60" s="5" t="s">
        <v>120</v>
      </c>
      <c r="M60" s="8"/>
      <c r="N60" s="8"/>
      <c r="O60" s="5">
        <v>390020</v>
      </c>
      <c r="P60" s="9" t="s">
        <v>31</v>
      </c>
      <c r="Q60" s="9" t="s">
        <v>89</v>
      </c>
      <c r="R60" s="9" t="s">
        <v>41</v>
      </c>
      <c r="S60" s="9">
        <v>18</v>
      </c>
      <c r="T60" s="9" t="s">
        <v>67</v>
      </c>
      <c r="U60" s="5">
        <v>2150</v>
      </c>
      <c r="V60">
        <f t="shared" si="3"/>
        <v>38700</v>
      </c>
      <c r="W60" s="10">
        <v>0.18</v>
      </c>
      <c r="X60" s="11">
        <f t="shared" si="4"/>
        <v>6966</v>
      </c>
      <c r="Y60">
        <v>0</v>
      </c>
      <c r="Z60" s="11">
        <f t="shared" si="5"/>
        <v>45666</v>
      </c>
    </row>
    <row r="61" spans="1:26" ht="45">
      <c r="A61" s="4">
        <v>46137</v>
      </c>
      <c r="B61" s="5" t="s">
        <v>144</v>
      </c>
      <c r="C61" s="5" t="s">
        <v>144</v>
      </c>
      <c r="D61" s="5" t="s">
        <v>144</v>
      </c>
      <c r="E61" s="5" t="s">
        <v>145</v>
      </c>
      <c r="F61" s="6" t="s">
        <v>26</v>
      </c>
      <c r="G61" s="5" t="s">
        <v>146</v>
      </c>
      <c r="H61" s="5" t="s">
        <v>146</v>
      </c>
      <c r="I61" s="7" t="s">
        <v>28</v>
      </c>
      <c r="J61" s="8" t="s">
        <v>29</v>
      </c>
      <c r="K61" s="4">
        <v>46137</v>
      </c>
      <c r="L61" s="5" t="s">
        <v>147</v>
      </c>
      <c r="M61" s="8"/>
      <c r="N61" s="8"/>
      <c r="O61" s="5">
        <v>560002</v>
      </c>
      <c r="P61" s="9" t="s">
        <v>31</v>
      </c>
      <c r="Q61" s="9" t="s">
        <v>121</v>
      </c>
      <c r="R61" s="9" t="s">
        <v>50</v>
      </c>
      <c r="S61" s="9">
        <v>11</v>
      </c>
      <c r="T61" s="9" t="s">
        <v>34</v>
      </c>
      <c r="U61" s="5">
        <v>7875</v>
      </c>
      <c r="V61">
        <f t="shared" si="3"/>
        <v>86625</v>
      </c>
      <c r="W61" s="10">
        <v>0.18</v>
      </c>
      <c r="X61" s="11">
        <f t="shared" si="4"/>
        <v>15592.5</v>
      </c>
      <c r="Y61">
        <v>0</v>
      </c>
      <c r="Z61" s="11">
        <f t="shared" si="5"/>
        <v>102217.5</v>
      </c>
    </row>
    <row r="62" spans="1:26" ht="45">
      <c r="A62" s="4">
        <v>46137</v>
      </c>
      <c r="B62" s="5" t="s">
        <v>144</v>
      </c>
      <c r="C62" s="5" t="s">
        <v>144</v>
      </c>
      <c r="D62" s="5" t="s">
        <v>144</v>
      </c>
      <c r="E62" s="5" t="s">
        <v>145</v>
      </c>
      <c r="F62" s="6" t="s">
        <v>26</v>
      </c>
      <c r="G62" s="5" t="s">
        <v>146</v>
      </c>
      <c r="H62" s="5" t="s">
        <v>146</v>
      </c>
      <c r="I62" s="7" t="s">
        <v>28</v>
      </c>
      <c r="J62" s="8" t="s">
        <v>29</v>
      </c>
      <c r="K62" s="4">
        <v>46137</v>
      </c>
      <c r="L62" s="5" t="s">
        <v>147</v>
      </c>
      <c r="M62" s="8"/>
      <c r="N62" s="8"/>
      <c r="O62" s="5">
        <v>560002</v>
      </c>
      <c r="P62" s="9" t="s">
        <v>31</v>
      </c>
      <c r="Q62" s="9" t="s">
        <v>46</v>
      </c>
      <c r="R62" s="9" t="s">
        <v>50</v>
      </c>
      <c r="S62" s="9">
        <v>9</v>
      </c>
      <c r="T62" s="9" t="s">
        <v>34</v>
      </c>
      <c r="U62" s="5">
        <v>18517</v>
      </c>
      <c r="V62">
        <f t="shared" si="3"/>
        <v>166653</v>
      </c>
      <c r="W62" s="10">
        <v>0.18</v>
      </c>
      <c r="X62" s="11">
        <f t="shared" si="4"/>
        <v>29997.54</v>
      </c>
      <c r="Y62">
        <v>0</v>
      </c>
      <c r="Z62" s="11">
        <f t="shared" si="5"/>
        <v>196650.54</v>
      </c>
    </row>
    <row r="63" spans="1:26" ht="75">
      <c r="A63" s="4">
        <v>46139</v>
      </c>
      <c r="B63" s="9" t="s">
        <v>148</v>
      </c>
      <c r="C63" s="9" t="s">
        <v>148</v>
      </c>
      <c r="D63" s="9" t="s">
        <v>148</v>
      </c>
      <c r="E63" s="5" t="s">
        <v>149</v>
      </c>
      <c r="F63" s="6" t="s">
        <v>26</v>
      </c>
      <c r="G63" s="5" t="s">
        <v>150</v>
      </c>
      <c r="H63" s="5" t="s">
        <v>150</v>
      </c>
      <c r="I63" s="7" t="s">
        <v>28</v>
      </c>
      <c r="J63" s="8" t="s">
        <v>29</v>
      </c>
      <c r="K63" s="4">
        <v>46139</v>
      </c>
      <c r="L63" s="5" t="s">
        <v>151</v>
      </c>
      <c r="M63" s="8"/>
      <c r="N63" s="8"/>
      <c r="O63" s="5">
        <v>380052</v>
      </c>
      <c r="P63" s="9" t="s">
        <v>31</v>
      </c>
      <c r="Q63" s="9" t="s">
        <v>89</v>
      </c>
      <c r="R63" s="9" t="s">
        <v>41</v>
      </c>
      <c r="S63" s="9">
        <v>4</v>
      </c>
      <c r="T63" s="9" t="s">
        <v>34</v>
      </c>
      <c r="U63" s="5">
        <v>1450</v>
      </c>
      <c r="V63">
        <f t="shared" si="3"/>
        <v>5800</v>
      </c>
      <c r="W63" s="10">
        <v>0.18</v>
      </c>
      <c r="X63" s="11">
        <f t="shared" si="4"/>
        <v>1044</v>
      </c>
      <c r="Y63">
        <v>0</v>
      </c>
      <c r="Z63" s="11">
        <f t="shared" si="5"/>
        <v>6844</v>
      </c>
    </row>
    <row r="64" spans="1:26" ht="75">
      <c r="A64" s="4">
        <v>46139</v>
      </c>
      <c r="B64" s="9" t="s">
        <v>148</v>
      </c>
      <c r="C64" s="9" t="s">
        <v>148</v>
      </c>
      <c r="D64" s="9" t="s">
        <v>148</v>
      </c>
      <c r="E64" s="5" t="s">
        <v>149</v>
      </c>
      <c r="F64" s="6" t="s">
        <v>26</v>
      </c>
      <c r="G64" s="5" t="s">
        <v>150</v>
      </c>
      <c r="H64" s="5" t="s">
        <v>150</v>
      </c>
      <c r="I64" s="7" t="s">
        <v>28</v>
      </c>
      <c r="J64" s="8" t="s">
        <v>29</v>
      </c>
      <c r="K64" s="4">
        <v>46139</v>
      </c>
      <c r="L64" s="5" t="s">
        <v>151</v>
      </c>
      <c r="M64" s="8"/>
      <c r="N64" s="8"/>
      <c r="O64" s="5">
        <v>380052</v>
      </c>
      <c r="P64" s="9" t="s">
        <v>58</v>
      </c>
      <c r="Q64" s="9" t="s">
        <v>52</v>
      </c>
      <c r="R64" s="9" t="s">
        <v>47</v>
      </c>
      <c r="S64" s="9">
        <v>1</v>
      </c>
      <c r="T64" s="9" t="s">
        <v>67</v>
      </c>
      <c r="U64" s="5">
        <v>4345</v>
      </c>
      <c r="V64">
        <f t="shared" si="3"/>
        <v>4345</v>
      </c>
      <c r="W64" s="10">
        <v>0.18</v>
      </c>
      <c r="X64" s="11">
        <f t="shared" si="4"/>
        <v>782.1</v>
      </c>
      <c r="Y64">
        <v>0</v>
      </c>
      <c r="Z64" s="11">
        <f t="shared" si="5"/>
        <v>5127.1000000000004</v>
      </c>
    </row>
    <row r="65" spans="1:26" ht="75">
      <c r="A65" s="4">
        <v>46139</v>
      </c>
      <c r="B65" s="9" t="s">
        <v>148</v>
      </c>
      <c r="C65" s="9" t="s">
        <v>148</v>
      </c>
      <c r="D65" s="9" t="s">
        <v>148</v>
      </c>
      <c r="E65" s="5" t="s">
        <v>149</v>
      </c>
      <c r="F65" s="6" t="s">
        <v>26</v>
      </c>
      <c r="G65" s="5" t="s">
        <v>150</v>
      </c>
      <c r="H65" s="5" t="s">
        <v>150</v>
      </c>
      <c r="I65" s="7" t="s">
        <v>28</v>
      </c>
      <c r="J65" s="8" t="s">
        <v>29</v>
      </c>
      <c r="K65" s="4">
        <v>46139</v>
      </c>
      <c r="L65" s="5" t="s">
        <v>151</v>
      </c>
      <c r="M65" s="8"/>
      <c r="N65" s="8"/>
      <c r="O65" s="5">
        <v>380052</v>
      </c>
      <c r="P65" s="9" t="s">
        <v>57</v>
      </c>
      <c r="Q65" s="9" t="s">
        <v>32</v>
      </c>
      <c r="R65" s="9" t="s">
        <v>47</v>
      </c>
      <c r="S65" s="9">
        <v>2</v>
      </c>
      <c r="T65" s="9" t="s">
        <v>34</v>
      </c>
      <c r="U65" s="5">
        <v>9625</v>
      </c>
      <c r="V65">
        <f t="shared" si="3"/>
        <v>19250</v>
      </c>
      <c r="W65" s="10">
        <v>0.18</v>
      </c>
      <c r="X65" s="11">
        <f t="shared" si="4"/>
        <v>3465</v>
      </c>
      <c r="Y65">
        <v>0</v>
      </c>
      <c r="Z65" s="11">
        <f t="shared" si="5"/>
        <v>22715</v>
      </c>
    </row>
    <row r="66" spans="1:26" ht="75">
      <c r="A66" s="4">
        <v>46139</v>
      </c>
      <c r="B66" s="9" t="s">
        <v>148</v>
      </c>
      <c r="C66" s="9" t="s">
        <v>148</v>
      </c>
      <c r="D66" s="9" t="s">
        <v>148</v>
      </c>
      <c r="E66" s="5" t="s">
        <v>149</v>
      </c>
      <c r="F66" s="6" t="s">
        <v>26</v>
      </c>
      <c r="G66" s="5" t="s">
        <v>150</v>
      </c>
      <c r="H66" s="5" t="s">
        <v>150</v>
      </c>
      <c r="I66" s="7" t="s">
        <v>28</v>
      </c>
      <c r="J66" s="8" t="s">
        <v>29</v>
      </c>
      <c r="K66" s="4">
        <v>46139</v>
      </c>
      <c r="L66" s="5" t="s">
        <v>151</v>
      </c>
      <c r="M66" s="8"/>
      <c r="N66" s="8"/>
      <c r="O66" s="5">
        <v>380052</v>
      </c>
      <c r="P66" s="9" t="s">
        <v>31</v>
      </c>
      <c r="Q66" s="9" t="s">
        <v>32</v>
      </c>
      <c r="R66" s="9" t="s">
        <v>47</v>
      </c>
      <c r="S66" s="9">
        <v>7</v>
      </c>
      <c r="T66" s="9" t="s">
        <v>34</v>
      </c>
      <c r="U66" s="5">
        <v>8910</v>
      </c>
      <c r="V66">
        <f t="shared" si="3"/>
        <v>62370</v>
      </c>
      <c r="W66" s="10">
        <v>0.18</v>
      </c>
      <c r="X66" s="11">
        <f t="shared" si="4"/>
        <v>11226.6</v>
      </c>
      <c r="Y66">
        <v>0</v>
      </c>
      <c r="Z66" s="11">
        <f t="shared" si="5"/>
        <v>73596.600000000006</v>
      </c>
    </row>
    <row r="67" spans="1:26" ht="75">
      <c r="A67" s="4">
        <v>46139</v>
      </c>
      <c r="B67" s="9" t="s">
        <v>148</v>
      </c>
      <c r="C67" s="9" t="s">
        <v>148</v>
      </c>
      <c r="D67" s="9" t="s">
        <v>148</v>
      </c>
      <c r="E67" s="5" t="s">
        <v>149</v>
      </c>
      <c r="F67" s="6" t="s">
        <v>26</v>
      </c>
      <c r="G67" s="5" t="s">
        <v>150</v>
      </c>
      <c r="H67" s="5" t="s">
        <v>150</v>
      </c>
      <c r="I67" s="7" t="s">
        <v>28</v>
      </c>
      <c r="J67" s="8" t="s">
        <v>29</v>
      </c>
      <c r="K67" s="4">
        <v>46139</v>
      </c>
      <c r="L67" s="5" t="s">
        <v>151</v>
      </c>
      <c r="M67" s="8"/>
      <c r="N67" s="8"/>
      <c r="O67" s="5">
        <v>380052</v>
      </c>
      <c r="P67" s="9" t="s">
        <v>58</v>
      </c>
      <c r="Q67" s="9" t="s">
        <v>32</v>
      </c>
      <c r="R67" s="9" t="s">
        <v>47</v>
      </c>
      <c r="S67" s="9">
        <v>9</v>
      </c>
      <c r="T67" s="9" t="s">
        <v>67</v>
      </c>
      <c r="U67" s="5">
        <v>12595</v>
      </c>
      <c r="V67">
        <f t="shared" si="3"/>
        <v>113355</v>
      </c>
      <c r="W67" s="10">
        <v>0.18</v>
      </c>
      <c r="X67" s="11">
        <f t="shared" si="4"/>
        <v>20403.900000000001</v>
      </c>
      <c r="Y67">
        <v>0</v>
      </c>
      <c r="Z67" s="11">
        <f t="shared" si="5"/>
        <v>133758.9</v>
      </c>
    </row>
    <row r="68" spans="1:26" ht="75">
      <c r="A68" s="4">
        <v>46139</v>
      </c>
      <c r="B68" s="9" t="s">
        <v>148</v>
      </c>
      <c r="C68" s="9" t="s">
        <v>148</v>
      </c>
      <c r="D68" s="9" t="s">
        <v>148</v>
      </c>
      <c r="E68" s="5" t="s">
        <v>149</v>
      </c>
      <c r="F68" s="6" t="s">
        <v>26</v>
      </c>
      <c r="G68" s="5" t="s">
        <v>150</v>
      </c>
      <c r="H68" s="5" t="s">
        <v>150</v>
      </c>
      <c r="I68" s="7" t="s">
        <v>28</v>
      </c>
      <c r="J68" s="8" t="s">
        <v>29</v>
      </c>
      <c r="K68" s="4">
        <v>46139</v>
      </c>
      <c r="L68" s="5" t="s">
        <v>151</v>
      </c>
      <c r="M68" s="8"/>
      <c r="N68" s="8"/>
      <c r="O68" s="5">
        <v>380052</v>
      </c>
      <c r="P68" s="9" t="s">
        <v>31</v>
      </c>
      <c r="Q68" s="9" t="s">
        <v>138</v>
      </c>
      <c r="R68" s="9" t="s">
        <v>47</v>
      </c>
      <c r="S68" s="9">
        <v>3</v>
      </c>
      <c r="T68" s="9" t="s">
        <v>34</v>
      </c>
      <c r="U68" s="5">
        <v>7315</v>
      </c>
      <c r="V68">
        <f t="shared" si="3"/>
        <v>21945</v>
      </c>
      <c r="W68" s="10">
        <v>0.18</v>
      </c>
      <c r="X68" s="11">
        <f t="shared" si="4"/>
        <v>3950.1</v>
      </c>
      <c r="Y68">
        <v>0</v>
      </c>
      <c r="Z68" s="11">
        <f t="shared" si="5"/>
        <v>25895.1</v>
      </c>
    </row>
    <row r="69" spans="1:26" ht="75">
      <c r="A69" s="4">
        <v>46139</v>
      </c>
      <c r="B69" s="9" t="s">
        <v>148</v>
      </c>
      <c r="C69" s="9" t="s">
        <v>148</v>
      </c>
      <c r="D69" s="9" t="s">
        <v>148</v>
      </c>
      <c r="E69" s="5" t="s">
        <v>149</v>
      </c>
      <c r="F69" s="6" t="s">
        <v>26</v>
      </c>
      <c r="G69" s="5" t="s">
        <v>150</v>
      </c>
      <c r="H69" s="5" t="s">
        <v>150</v>
      </c>
      <c r="I69" s="7" t="s">
        <v>28</v>
      </c>
      <c r="J69" s="8" t="s">
        <v>29</v>
      </c>
      <c r="K69" s="4">
        <v>46139</v>
      </c>
      <c r="L69" s="5" t="s">
        <v>151</v>
      </c>
      <c r="M69" s="8"/>
      <c r="N69" s="8"/>
      <c r="O69" s="5">
        <v>380052</v>
      </c>
      <c r="P69" s="9" t="s">
        <v>58</v>
      </c>
      <c r="Q69" s="9" t="s">
        <v>72</v>
      </c>
      <c r="R69" s="9" t="s">
        <v>47</v>
      </c>
      <c r="S69" s="9">
        <v>3</v>
      </c>
      <c r="T69" s="9" t="s">
        <v>67</v>
      </c>
      <c r="U69" s="5">
        <v>29425</v>
      </c>
      <c r="V69">
        <f t="shared" si="3"/>
        <v>88275</v>
      </c>
      <c r="W69" s="10">
        <v>0.18</v>
      </c>
      <c r="X69" s="11">
        <f t="shared" si="4"/>
        <v>15889.5</v>
      </c>
      <c r="Y69">
        <v>0</v>
      </c>
      <c r="Z69" s="11">
        <f t="shared" si="5"/>
        <v>104164.5</v>
      </c>
    </row>
    <row r="70" spans="1:26" ht="90">
      <c r="A70" s="4">
        <v>46139</v>
      </c>
      <c r="B70" s="5" t="s">
        <v>152</v>
      </c>
      <c r="C70" s="5" t="s">
        <v>152</v>
      </c>
      <c r="D70" s="5" t="s">
        <v>152</v>
      </c>
      <c r="E70" s="5" t="s">
        <v>153</v>
      </c>
      <c r="F70" s="6" t="s">
        <v>26</v>
      </c>
      <c r="G70" s="5" t="s">
        <v>154</v>
      </c>
      <c r="H70" s="5" t="s">
        <v>154</v>
      </c>
      <c r="I70" s="7" t="s">
        <v>28</v>
      </c>
      <c r="J70" s="8" t="s">
        <v>29</v>
      </c>
      <c r="K70" s="4">
        <v>46139</v>
      </c>
      <c r="L70" s="5" t="s">
        <v>155</v>
      </c>
      <c r="M70" s="8"/>
      <c r="N70" s="8"/>
      <c r="O70" s="5">
        <v>400083</v>
      </c>
      <c r="P70" s="9" t="s">
        <v>31</v>
      </c>
      <c r="Q70" s="9" t="s">
        <v>121</v>
      </c>
      <c r="R70" s="9" t="s">
        <v>41</v>
      </c>
      <c r="S70" s="9">
        <v>13</v>
      </c>
      <c r="T70" s="9" t="s">
        <v>34</v>
      </c>
      <c r="U70" s="5">
        <v>12995</v>
      </c>
      <c r="V70">
        <f t="shared" si="3"/>
        <v>168935</v>
      </c>
      <c r="W70" s="10">
        <v>0.18</v>
      </c>
      <c r="X70" s="11">
        <f t="shared" si="4"/>
        <v>30408.3</v>
      </c>
      <c r="Y70">
        <v>0</v>
      </c>
      <c r="Z70" s="11">
        <f t="shared" si="5"/>
        <v>199343.3</v>
      </c>
    </row>
    <row r="71" spans="1:26" ht="45">
      <c r="A71" s="4">
        <v>46140</v>
      </c>
      <c r="B71" s="5" t="s">
        <v>144</v>
      </c>
      <c r="C71" s="5" t="s">
        <v>144</v>
      </c>
      <c r="D71" s="5" t="s">
        <v>144</v>
      </c>
      <c r="E71" s="5" t="s">
        <v>145</v>
      </c>
      <c r="F71" s="6" t="s">
        <v>26</v>
      </c>
      <c r="G71" s="5" t="s">
        <v>146</v>
      </c>
      <c r="H71" s="5" t="s">
        <v>146</v>
      </c>
      <c r="I71" s="7" t="s">
        <v>28</v>
      </c>
      <c r="J71" s="8" t="s">
        <v>29</v>
      </c>
      <c r="K71" s="4">
        <v>46140</v>
      </c>
      <c r="L71" s="5" t="s">
        <v>147</v>
      </c>
      <c r="M71" s="8"/>
      <c r="N71" s="8"/>
      <c r="O71" s="5">
        <v>560002</v>
      </c>
      <c r="P71" s="9" t="s">
        <v>31</v>
      </c>
      <c r="Q71" s="9" t="s">
        <v>121</v>
      </c>
      <c r="R71" s="9" t="s">
        <v>50</v>
      </c>
      <c r="S71" s="9">
        <v>11</v>
      </c>
      <c r="T71" s="9" t="s">
        <v>34</v>
      </c>
      <c r="U71" s="5">
        <v>13050</v>
      </c>
      <c r="V71">
        <f t="shared" si="3"/>
        <v>143550</v>
      </c>
      <c r="W71" s="10">
        <v>0.18</v>
      </c>
      <c r="X71" s="11">
        <f t="shared" si="4"/>
        <v>25839</v>
      </c>
      <c r="Y71">
        <v>0</v>
      </c>
      <c r="Z71" s="11">
        <f t="shared" si="5"/>
        <v>169389</v>
      </c>
    </row>
    <row r="72" spans="1:26" ht="45">
      <c r="A72" s="4">
        <v>46140</v>
      </c>
      <c r="B72" s="5" t="s">
        <v>144</v>
      </c>
      <c r="C72" s="5" t="s">
        <v>144</v>
      </c>
      <c r="D72" s="5" t="s">
        <v>144</v>
      </c>
      <c r="E72" s="5" t="s">
        <v>145</v>
      </c>
      <c r="F72" s="6" t="s">
        <v>26</v>
      </c>
      <c r="G72" s="5" t="s">
        <v>146</v>
      </c>
      <c r="H72" s="5" t="s">
        <v>146</v>
      </c>
      <c r="I72" s="7" t="s">
        <v>28</v>
      </c>
      <c r="J72" s="8" t="s">
        <v>29</v>
      </c>
      <c r="K72" s="4">
        <v>46140</v>
      </c>
      <c r="L72" s="5" t="s">
        <v>147</v>
      </c>
      <c r="M72" s="8"/>
      <c r="N72" s="8"/>
      <c r="O72" s="5">
        <v>560002</v>
      </c>
      <c r="P72" s="9" t="s">
        <v>31</v>
      </c>
      <c r="Q72" s="9" t="s">
        <v>46</v>
      </c>
      <c r="R72" s="9" t="s">
        <v>50</v>
      </c>
      <c r="S72" s="9">
        <v>13</v>
      </c>
      <c r="T72" s="9" t="s">
        <v>34</v>
      </c>
      <c r="U72" s="5">
        <v>18517</v>
      </c>
      <c r="V72">
        <f t="shared" si="3"/>
        <v>240721</v>
      </c>
      <c r="W72" s="10">
        <v>0.18</v>
      </c>
      <c r="X72" s="11">
        <f t="shared" si="4"/>
        <v>43329.78</v>
      </c>
      <c r="Y72">
        <v>0</v>
      </c>
      <c r="Z72" s="11">
        <f t="shared" si="5"/>
        <v>284050.78000000003</v>
      </c>
    </row>
    <row r="73" spans="1:26" ht="105">
      <c r="A73" s="4">
        <v>46140</v>
      </c>
      <c r="B73" s="5" t="s">
        <v>107</v>
      </c>
      <c r="C73" s="5" t="s">
        <v>107</v>
      </c>
      <c r="D73" s="9" t="s">
        <v>156</v>
      </c>
      <c r="E73" s="5" t="s">
        <v>157</v>
      </c>
      <c r="F73" s="6" t="s">
        <v>26</v>
      </c>
      <c r="G73" s="5" t="s">
        <v>158</v>
      </c>
      <c r="H73" s="5" t="s">
        <v>158</v>
      </c>
      <c r="I73" s="7" t="s">
        <v>28</v>
      </c>
      <c r="J73" s="8" t="s">
        <v>29</v>
      </c>
      <c r="K73" s="4">
        <v>46140</v>
      </c>
      <c r="L73" s="5" t="s">
        <v>159</v>
      </c>
      <c r="M73" s="8"/>
      <c r="N73" s="8"/>
      <c r="O73" s="5">
        <v>380059</v>
      </c>
      <c r="P73" s="9" t="s">
        <v>143</v>
      </c>
      <c r="Q73" s="9" t="s">
        <v>32</v>
      </c>
      <c r="R73" s="9" t="s">
        <v>47</v>
      </c>
      <c r="S73" s="9">
        <v>13</v>
      </c>
      <c r="T73" s="9" t="s">
        <v>34</v>
      </c>
      <c r="U73" s="5">
        <v>9390</v>
      </c>
      <c r="V73">
        <f t="shared" si="3"/>
        <v>122070</v>
      </c>
      <c r="W73" s="10">
        <v>0.18</v>
      </c>
      <c r="X73" s="11">
        <f t="shared" si="4"/>
        <v>21972.6</v>
      </c>
      <c r="Y73">
        <v>0</v>
      </c>
      <c r="Z73" s="11">
        <f t="shared" si="5"/>
        <v>144042.6</v>
      </c>
    </row>
    <row r="74" spans="1:26" ht="105">
      <c r="A74" s="4">
        <v>46140</v>
      </c>
      <c r="B74" s="5" t="s">
        <v>107</v>
      </c>
      <c r="C74" s="5" t="s">
        <v>107</v>
      </c>
      <c r="D74" s="9" t="s">
        <v>156</v>
      </c>
      <c r="E74" s="5" t="s">
        <v>157</v>
      </c>
      <c r="F74" s="6" t="s">
        <v>26</v>
      </c>
      <c r="G74" s="5" t="s">
        <v>158</v>
      </c>
      <c r="H74" s="5" t="s">
        <v>158</v>
      </c>
      <c r="I74" s="7" t="s">
        <v>28</v>
      </c>
      <c r="J74" s="8" t="s">
        <v>29</v>
      </c>
      <c r="K74" s="4">
        <v>46140</v>
      </c>
      <c r="L74" s="5" t="s">
        <v>159</v>
      </c>
      <c r="M74" s="8"/>
      <c r="N74" s="8"/>
      <c r="O74" s="5">
        <v>380059</v>
      </c>
      <c r="P74" s="9" t="s">
        <v>143</v>
      </c>
      <c r="Q74" s="9" t="s">
        <v>160</v>
      </c>
      <c r="R74" s="9" t="s">
        <v>47</v>
      </c>
      <c r="S74" s="9">
        <v>1</v>
      </c>
      <c r="T74" s="9" t="s">
        <v>34</v>
      </c>
      <c r="U74" s="5">
        <v>7440</v>
      </c>
      <c r="V74">
        <f t="shared" si="3"/>
        <v>7440</v>
      </c>
      <c r="W74" s="10">
        <v>0.18</v>
      </c>
      <c r="X74" s="11">
        <f t="shared" si="4"/>
        <v>1339.2</v>
      </c>
      <c r="Y74">
        <v>0</v>
      </c>
      <c r="Z74" s="11">
        <f t="shared" si="5"/>
        <v>8779.2000000000007</v>
      </c>
    </row>
    <row r="75" spans="1:26" ht="60">
      <c r="A75" s="4">
        <v>46140</v>
      </c>
      <c r="B75" s="5" t="s">
        <v>35</v>
      </c>
      <c r="C75" s="5" t="s">
        <v>35</v>
      </c>
      <c r="D75" s="5" t="s">
        <v>123</v>
      </c>
      <c r="E75" s="5" t="s">
        <v>124</v>
      </c>
      <c r="F75" s="6" t="s">
        <v>26</v>
      </c>
      <c r="G75" s="5" t="s">
        <v>125</v>
      </c>
      <c r="H75" s="5" t="s">
        <v>125</v>
      </c>
      <c r="I75" s="7" t="s">
        <v>28</v>
      </c>
      <c r="J75" s="8" t="s">
        <v>29</v>
      </c>
      <c r="K75" s="4">
        <v>46140</v>
      </c>
      <c r="L75" s="5" t="s">
        <v>126</v>
      </c>
      <c r="M75" s="8"/>
      <c r="N75" s="8"/>
      <c r="O75" s="5">
        <v>380060</v>
      </c>
      <c r="P75" s="9" t="s">
        <v>31</v>
      </c>
      <c r="Q75" s="9" t="s">
        <v>161</v>
      </c>
      <c r="R75" s="9" t="s">
        <v>90</v>
      </c>
      <c r="S75" s="9">
        <v>7</v>
      </c>
      <c r="T75" s="9" t="s">
        <v>34</v>
      </c>
      <c r="U75" s="5">
        <v>790</v>
      </c>
      <c r="V75">
        <f t="shared" si="3"/>
        <v>5530</v>
      </c>
      <c r="W75" s="10">
        <v>0.18</v>
      </c>
      <c r="X75" s="11">
        <f t="shared" si="4"/>
        <v>995.4</v>
      </c>
      <c r="Y75">
        <v>0</v>
      </c>
      <c r="Z75" s="11">
        <f t="shared" si="5"/>
        <v>6525.4</v>
      </c>
    </row>
    <row r="76" spans="1:26" ht="60">
      <c r="A76" s="4">
        <v>46140</v>
      </c>
      <c r="B76" s="5" t="s">
        <v>35</v>
      </c>
      <c r="C76" s="5" t="s">
        <v>35</v>
      </c>
      <c r="D76" s="5" t="s">
        <v>123</v>
      </c>
      <c r="E76" s="5" t="s">
        <v>124</v>
      </c>
      <c r="F76" s="6" t="s">
        <v>26</v>
      </c>
      <c r="G76" s="5" t="s">
        <v>125</v>
      </c>
      <c r="H76" s="5" t="s">
        <v>125</v>
      </c>
      <c r="I76" s="7" t="s">
        <v>28</v>
      </c>
      <c r="J76" s="8" t="s">
        <v>29</v>
      </c>
      <c r="K76" s="4">
        <v>46140</v>
      </c>
      <c r="L76" s="5" t="s">
        <v>126</v>
      </c>
      <c r="M76" s="8"/>
      <c r="N76" s="8"/>
      <c r="O76" s="5">
        <v>380060</v>
      </c>
      <c r="P76" s="9" t="s">
        <v>31</v>
      </c>
      <c r="Q76" s="9" t="s">
        <v>162</v>
      </c>
      <c r="R76" s="9" t="s">
        <v>90</v>
      </c>
      <c r="S76" s="9">
        <v>3</v>
      </c>
      <c r="T76" s="9" t="s">
        <v>34</v>
      </c>
      <c r="U76" s="5">
        <v>1740</v>
      </c>
      <c r="V76">
        <f t="shared" si="3"/>
        <v>5220</v>
      </c>
      <c r="W76" s="10">
        <v>0.18</v>
      </c>
      <c r="X76" s="11">
        <f t="shared" si="4"/>
        <v>939.6</v>
      </c>
      <c r="Y76">
        <v>0</v>
      </c>
      <c r="Z76" s="11">
        <f t="shared" si="5"/>
        <v>6159.6</v>
      </c>
    </row>
    <row r="77" spans="1:26" ht="60">
      <c r="A77" s="4">
        <v>46140</v>
      </c>
      <c r="B77" s="5" t="s">
        <v>35</v>
      </c>
      <c r="C77" s="5" t="s">
        <v>35</v>
      </c>
      <c r="D77" s="5" t="s">
        <v>123</v>
      </c>
      <c r="E77" s="5" t="s">
        <v>124</v>
      </c>
      <c r="F77" s="6" t="s">
        <v>26</v>
      </c>
      <c r="G77" s="5" t="s">
        <v>125</v>
      </c>
      <c r="H77" s="5" t="s">
        <v>125</v>
      </c>
      <c r="I77" s="7" t="s">
        <v>28</v>
      </c>
      <c r="J77" s="8" t="s">
        <v>29</v>
      </c>
      <c r="K77" s="4">
        <v>46140</v>
      </c>
      <c r="L77" s="5" t="s">
        <v>126</v>
      </c>
      <c r="M77" s="8"/>
      <c r="N77" s="8"/>
      <c r="O77" s="5">
        <v>380060</v>
      </c>
      <c r="P77" s="9" t="s">
        <v>31</v>
      </c>
      <c r="Q77" s="9" t="s">
        <v>163</v>
      </c>
      <c r="R77" s="9" t="s">
        <v>90</v>
      </c>
      <c r="S77" s="9">
        <v>7</v>
      </c>
      <c r="T77" s="9" t="s">
        <v>34</v>
      </c>
      <c r="U77" s="5">
        <v>6250</v>
      </c>
      <c r="V77">
        <f t="shared" si="3"/>
        <v>43750</v>
      </c>
      <c r="W77" s="10">
        <v>0.18</v>
      </c>
      <c r="X77" s="11">
        <f t="shared" si="4"/>
        <v>7875</v>
      </c>
      <c r="Y77">
        <v>0</v>
      </c>
      <c r="Z77" s="11">
        <f t="shared" si="5"/>
        <v>51625</v>
      </c>
    </row>
    <row r="78" spans="1:26" ht="60">
      <c r="A78" s="4">
        <v>46140</v>
      </c>
      <c r="B78" s="5" t="s">
        <v>35</v>
      </c>
      <c r="C78" s="5" t="s">
        <v>35</v>
      </c>
      <c r="D78" s="5" t="s">
        <v>123</v>
      </c>
      <c r="E78" s="5" t="s">
        <v>124</v>
      </c>
      <c r="F78" s="6" t="s">
        <v>26</v>
      </c>
      <c r="G78" s="5" t="s">
        <v>125</v>
      </c>
      <c r="H78" s="5" t="s">
        <v>125</v>
      </c>
      <c r="I78" s="7" t="s">
        <v>28</v>
      </c>
      <c r="J78" s="8" t="s">
        <v>29</v>
      </c>
      <c r="K78" s="4">
        <v>46140</v>
      </c>
      <c r="L78" s="5" t="s">
        <v>126</v>
      </c>
      <c r="M78" s="8"/>
      <c r="N78" s="8"/>
      <c r="O78" s="5">
        <v>380060</v>
      </c>
      <c r="P78" s="9" t="s">
        <v>58</v>
      </c>
      <c r="Q78" s="9" t="s">
        <v>52</v>
      </c>
      <c r="R78" s="9" t="s">
        <v>41</v>
      </c>
      <c r="S78" s="9">
        <v>3</v>
      </c>
      <c r="T78" s="9" t="s">
        <v>67</v>
      </c>
      <c r="U78" s="5">
        <v>5350</v>
      </c>
      <c r="V78">
        <f t="shared" si="3"/>
        <v>16050</v>
      </c>
      <c r="W78" s="10">
        <v>0.18</v>
      </c>
      <c r="X78" s="11">
        <f t="shared" si="4"/>
        <v>2889</v>
      </c>
      <c r="Y78">
        <v>0</v>
      </c>
      <c r="Z78" s="11">
        <f t="shared" si="5"/>
        <v>18939</v>
      </c>
    </row>
    <row r="79" spans="1:26" ht="75">
      <c r="A79" s="4">
        <v>46140</v>
      </c>
      <c r="B79" s="5" t="s">
        <v>35</v>
      </c>
      <c r="C79" s="5" t="s">
        <v>35</v>
      </c>
      <c r="D79" s="5" t="s">
        <v>36</v>
      </c>
      <c r="E79" s="5" t="s">
        <v>37</v>
      </c>
      <c r="F79" s="6" t="s">
        <v>26</v>
      </c>
      <c r="G79" s="5" t="s">
        <v>38</v>
      </c>
      <c r="H79" s="5" t="s">
        <v>38</v>
      </c>
      <c r="I79" s="7" t="s">
        <v>28</v>
      </c>
      <c r="J79" s="8" t="s">
        <v>29</v>
      </c>
      <c r="K79" s="4">
        <v>46140</v>
      </c>
      <c r="L79" s="5" t="s">
        <v>39</v>
      </c>
      <c r="M79" s="8"/>
      <c r="N79" s="8"/>
      <c r="O79" s="5">
        <v>380060</v>
      </c>
      <c r="P79" s="9" t="s">
        <v>58</v>
      </c>
      <c r="Q79" s="9" t="s">
        <v>32</v>
      </c>
      <c r="R79" s="9" t="s">
        <v>41</v>
      </c>
      <c r="S79" s="9">
        <v>3</v>
      </c>
      <c r="T79" s="9" t="s">
        <v>67</v>
      </c>
      <c r="U79" s="5">
        <v>10450</v>
      </c>
      <c r="V79">
        <f t="shared" si="3"/>
        <v>31350</v>
      </c>
      <c r="W79" s="10">
        <v>0.18</v>
      </c>
      <c r="X79" s="11">
        <f t="shared" si="4"/>
        <v>5643</v>
      </c>
      <c r="Y79">
        <v>0</v>
      </c>
      <c r="Z79" s="11">
        <f t="shared" si="5"/>
        <v>36993</v>
      </c>
    </row>
    <row r="80" spans="1:26" ht="60">
      <c r="A80" s="4">
        <v>46140</v>
      </c>
      <c r="B80" s="5" t="s">
        <v>35</v>
      </c>
      <c r="C80" s="5" t="s">
        <v>35</v>
      </c>
      <c r="D80" s="5" t="s">
        <v>123</v>
      </c>
      <c r="E80" s="5" t="s">
        <v>124</v>
      </c>
      <c r="F80" s="6" t="s">
        <v>26</v>
      </c>
      <c r="G80" s="5" t="s">
        <v>125</v>
      </c>
      <c r="H80" s="5" t="s">
        <v>125</v>
      </c>
      <c r="I80" s="7" t="s">
        <v>28</v>
      </c>
      <c r="J80" s="8" t="s">
        <v>29</v>
      </c>
      <c r="K80" s="4">
        <v>46140</v>
      </c>
      <c r="L80" s="5" t="s">
        <v>126</v>
      </c>
      <c r="M80" s="8"/>
      <c r="N80" s="8"/>
      <c r="O80" s="5">
        <v>380060</v>
      </c>
      <c r="P80" s="9" t="s">
        <v>58</v>
      </c>
      <c r="Q80" s="9" t="s">
        <v>48</v>
      </c>
      <c r="R80" s="9" t="s">
        <v>41</v>
      </c>
      <c r="S80" s="9">
        <v>3</v>
      </c>
      <c r="T80" s="9" t="s">
        <v>67</v>
      </c>
      <c r="U80" s="5">
        <v>8950</v>
      </c>
      <c r="V80">
        <f t="shared" si="3"/>
        <v>26850</v>
      </c>
      <c r="W80" s="10">
        <v>0.18</v>
      </c>
      <c r="X80" s="11">
        <f t="shared" si="4"/>
        <v>4833</v>
      </c>
      <c r="Y80">
        <v>0</v>
      </c>
      <c r="Z80" s="11">
        <f t="shared" si="5"/>
        <v>31683</v>
      </c>
    </row>
    <row r="81" spans="1:26" ht="60">
      <c r="A81" s="4">
        <v>46140</v>
      </c>
      <c r="B81" s="5" t="s">
        <v>35</v>
      </c>
      <c r="C81" s="5" t="s">
        <v>35</v>
      </c>
      <c r="D81" s="5" t="s">
        <v>123</v>
      </c>
      <c r="E81" s="5" t="s">
        <v>124</v>
      </c>
      <c r="F81" s="6" t="s">
        <v>26</v>
      </c>
      <c r="G81" s="5" t="s">
        <v>125</v>
      </c>
      <c r="H81" s="5" t="s">
        <v>125</v>
      </c>
      <c r="I81" s="7" t="s">
        <v>28</v>
      </c>
      <c r="J81" s="8" t="s">
        <v>29</v>
      </c>
      <c r="K81" s="4">
        <v>46140</v>
      </c>
      <c r="L81" s="5" t="s">
        <v>126</v>
      </c>
      <c r="M81" s="8"/>
      <c r="N81" s="8"/>
      <c r="O81" s="5">
        <v>380060</v>
      </c>
      <c r="P81" s="9" t="s">
        <v>58</v>
      </c>
      <c r="Q81" s="9" t="s">
        <v>121</v>
      </c>
      <c r="R81" s="9" t="s">
        <v>41</v>
      </c>
      <c r="S81" s="9">
        <v>3</v>
      </c>
      <c r="T81" s="9" t="s">
        <v>67</v>
      </c>
      <c r="U81" s="5">
        <v>18200</v>
      </c>
      <c r="V81">
        <f t="shared" si="3"/>
        <v>54600</v>
      </c>
      <c r="W81" s="10">
        <v>0.18</v>
      </c>
      <c r="X81" s="11">
        <f t="shared" si="4"/>
        <v>9828</v>
      </c>
      <c r="Y81">
        <v>0</v>
      </c>
      <c r="Z81" s="11">
        <f t="shared" si="5"/>
        <v>64428</v>
      </c>
    </row>
    <row r="82" spans="1:26" ht="90">
      <c r="A82" s="4">
        <v>46141</v>
      </c>
      <c r="B82" s="9" t="s">
        <v>164</v>
      </c>
      <c r="C82" s="9" t="s">
        <v>164</v>
      </c>
      <c r="D82" s="9" t="s">
        <v>164</v>
      </c>
      <c r="E82" s="5" t="s">
        <v>165</v>
      </c>
      <c r="F82" s="6" t="s">
        <v>26</v>
      </c>
      <c r="G82" s="5" t="s">
        <v>166</v>
      </c>
      <c r="H82" s="5" t="s">
        <v>166</v>
      </c>
      <c r="I82" s="7" t="s">
        <v>28</v>
      </c>
      <c r="J82" s="8" t="s">
        <v>29</v>
      </c>
      <c r="K82" s="4">
        <v>46141</v>
      </c>
      <c r="L82" s="5" t="s">
        <v>167</v>
      </c>
      <c r="M82" s="8"/>
      <c r="N82" s="8"/>
      <c r="O82" s="5">
        <v>380015</v>
      </c>
      <c r="P82" s="9" t="s">
        <v>31</v>
      </c>
      <c r="Q82" s="9" t="s">
        <v>116</v>
      </c>
      <c r="R82" s="9" t="s">
        <v>41</v>
      </c>
      <c r="S82" s="9">
        <v>20</v>
      </c>
      <c r="T82" s="9" t="s">
        <v>168</v>
      </c>
      <c r="U82" s="5">
        <v>2000</v>
      </c>
      <c r="V82">
        <f t="shared" si="3"/>
        <v>40000</v>
      </c>
      <c r="W82" s="10">
        <v>0.18</v>
      </c>
      <c r="X82" s="11">
        <f t="shared" si="4"/>
        <v>7200</v>
      </c>
      <c r="Y82">
        <v>0</v>
      </c>
      <c r="Z82" s="11">
        <f t="shared" si="5"/>
        <v>47200</v>
      </c>
    </row>
    <row r="83" spans="1:26" ht="60">
      <c r="A83" s="4">
        <v>46140</v>
      </c>
      <c r="B83" s="5" t="s">
        <v>35</v>
      </c>
      <c r="C83" s="5" t="s">
        <v>35</v>
      </c>
      <c r="D83" s="5" t="s">
        <v>123</v>
      </c>
      <c r="E83" s="5" t="s">
        <v>124</v>
      </c>
      <c r="F83" s="6" t="s">
        <v>26</v>
      </c>
      <c r="G83" s="5" t="s">
        <v>125</v>
      </c>
      <c r="H83" s="5" t="s">
        <v>125</v>
      </c>
      <c r="I83" s="7" t="s">
        <v>28</v>
      </c>
      <c r="J83" s="8" t="s">
        <v>29</v>
      </c>
      <c r="K83" s="4">
        <v>46140</v>
      </c>
      <c r="L83" s="5" t="s">
        <v>126</v>
      </c>
      <c r="M83" s="8"/>
      <c r="N83" s="8"/>
      <c r="O83" s="5">
        <v>380060</v>
      </c>
      <c r="P83" s="9" t="s">
        <v>31</v>
      </c>
      <c r="Q83" s="9" t="s">
        <v>162</v>
      </c>
      <c r="R83" s="9" t="s">
        <v>90</v>
      </c>
      <c r="S83" s="9">
        <v>3</v>
      </c>
      <c r="T83" s="9" t="s">
        <v>34</v>
      </c>
      <c r="U83" s="5">
        <v>1740</v>
      </c>
      <c r="V83">
        <f t="shared" si="3"/>
        <v>5220</v>
      </c>
      <c r="W83" s="10">
        <v>0.18</v>
      </c>
      <c r="X83" s="11">
        <f t="shared" si="4"/>
        <v>939.6</v>
      </c>
      <c r="Y83">
        <v>0</v>
      </c>
      <c r="Z83" s="11">
        <f t="shared" si="5"/>
        <v>6159.6</v>
      </c>
    </row>
    <row r="84" spans="1:26" ht="60">
      <c r="A84" s="4">
        <v>46140</v>
      </c>
      <c r="B84" s="5" t="s">
        <v>35</v>
      </c>
      <c r="C84" s="5" t="s">
        <v>35</v>
      </c>
      <c r="D84" s="5" t="s">
        <v>123</v>
      </c>
      <c r="E84" s="5" t="s">
        <v>124</v>
      </c>
      <c r="F84" s="6" t="s">
        <v>26</v>
      </c>
      <c r="G84" s="5" t="s">
        <v>125</v>
      </c>
      <c r="H84" s="5" t="s">
        <v>125</v>
      </c>
      <c r="I84" s="7" t="s">
        <v>28</v>
      </c>
      <c r="J84" s="8" t="s">
        <v>29</v>
      </c>
      <c r="K84" s="4">
        <v>46140</v>
      </c>
      <c r="L84" s="5" t="s">
        <v>126</v>
      </c>
      <c r="M84" s="8"/>
      <c r="N84" s="8"/>
      <c r="O84" s="5">
        <v>380060</v>
      </c>
      <c r="P84" s="9" t="s">
        <v>31</v>
      </c>
      <c r="Q84" s="9" t="s">
        <v>163</v>
      </c>
      <c r="R84" s="9" t="s">
        <v>90</v>
      </c>
      <c r="S84" s="9">
        <v>7</v>
      </c>
      <c r="T84" s="9" t="s">
        <v>34</v>
      </c>
      <c r="U84" s="5">
        <v>6250</v>
      </c>
      <c r="V84">
        <f t="shared" si="3"/>
        <v>43750</v>
      </c>
      <c r="W84" s="10">
        <v>0.18</v>
      </c>
      <c r="X84" s="11">
        <f t="shared" si="4"/>
        <v>7875</v>
      </c>
      <c r="Y84">
        <v>0</v>
      </c>
      <c r="Z84" s="11">
        <f t="shared" si="5"/>
        <v>51625</v>
      </c>
    </row>
    <row r="85" spans="1:26" ht="60">
      <c r="A85" s="4">
        <v>46140</v>
      </c>
      <c r="B85" s="5" t="s">
        <v>35</v>
      </c>
      <c r="C85" s="5" t="s">
        <v>35</v>
      </c>
      <c r="D85" s="5" t="s">
        <v>123</v>
      </c>
      <c r="E85" s="5" t="s">
        <v>124</v>
      </c>
      <c r="F85" s="6" t="s">
        <v>26</v>
      </c>
      <c r="G85" s="5" t="s">
        <v>125</v>
      </c>
      <c r="H85" s="5" t="s">
        <v>125</v>
      </c>
      <c r="I85" s="7" t="s">
        <v>28</v>
      </c>
      <c r="J85" s="8" t="s">
        <v>29</v>
      </c>
      <c r="K85" s="4">
        <v>46140</v>
      </c>
      <c r="L85" s="5" t="s">
        <v>126</v>
      </c>
      <c r="M85" s="8"/>
      <c r="N85" s="8"/>
      <c r="O85" s="5">
        <v>380060</v>
      </c>
      <c r="P85" s="9" t="s">
        <v>58</v>
      </c>
      <c r="Q85" s="9" t="s">
        <v>52</v>
      </c>
      <c r="R85" s="9" t="s">
        <v>41</v>
      </c>
      <c r="S85" s="9">
        <v>3</v>
      </c>
      <c r="T85" s="9" t="s">
        <v>67</v>
      </c>
      <c r="U85" s="5">
        <v>5350</v>
      </c>
      <c r="V85">
        <f t="shared" si="3"/>
        <v>16050</v>
      </c>
      <c r="W85" s="10">
        <v>0.18</v>
      </c>
      <c r="X85" s="11">
        <f t="shared" si="4"/>
        <v>2889</v>
      </c>
      <c r="Y85">
        <v>0</v>
      </c>
      <c r="Z85" s="11">
        <f t="shared" si="5"/>
        <v>18939</v>
      </c>
    </row>
    <row r="86" spans="1:26" ht="75">
      <c r="A86" s="4">
        <v>46140</v>
      </c>
      <c r="B86" s="5" t="s">
        <v>35</v>
      </c>
      <c r="C86" s="5" t="s">
        <v>35</v>
      </c>
      <c r="D86" s="5" t="s">
        <v>36</v>
      </c>
      <c r="E86" s="5" t="s">
        <v>37</v>
      </c>
      <c r="F86" s="6" t="s">
        <v>26</v>
      </c>
      <c r="G86" s="5" t="s">
        <v>38</v>
      </c>
      <c r="H86" s="5" t="s">
        <v>38</v>
      </c>
      <c r="I86" s="7" t="s">
        <v>28</v>
      </c>
      <c r="J86" s="8" t="s">
        <v>29</v>
      </c>
      <c r="K86" s="4">
        <v>46140</v>
      </c>
      <c r="L86" s="5" t="s">
        <v>39</v>
      </c>
      <c r="M86" s="8"/>
      <c r="N86" s="8"/>
      <c r="O86" s="5">
        <v>380060</v>
      </c>
      <c r="P86" s="9" t="s">
        <v>58</v>
      </c>
      <c r="Q86" s="9" t="s">
        <v>32</v>
      </c>
      <c r="R86" s="9" t="s">
        <v>41</v>
      </c>
      <c r="S86" s="9">
        <v>3</v>
      </c>
      <c r="T86" s="9" t="s">
        <v>67</v>
      </c>
      <c r="U86" s="5">
        <v>10450</v>
      </c>
      <c r="V86">
        <f t="shared" si="3"/>
        <v>31350</v>
      </c>
      <c r="W86" s="10">
        <v>0.18</v>
      </c>
      <c r="X86" s="11">
        <f t="shared" si="4"/>
        <v>5643</v>
      </c>
      <c r="Y86">
        <v>0</v>
      </c>
      <c r="Z86" s="11">
        <f t="shared" si="5"/>
        <v>36993</v>
      </c>
    </row>
    <row r="87" spans="1:26" ht="60">
      <c r="A87" s="4">
        <v>46140</v>
      </c>
      <c r="B87" s="5" t="s">
        <v>35</v>
      </c>
      <c r="C87" s="5" t="s">
        <v>35</v>
      </c>
      <c r="D87" s="5" t="s">
        <v>123</v>
      </c>
      <c r="E87" s="5" t="s">
        <v>124</v>
      </c>
      <c r="F87" s="6" t="s">
        <v>26</v>
      </c>
      <c r="G87" s="5" t="s">
        <v>125</v>
      </c>
      <c r="H87" s="5" t="s">
        <v>125</v>
      </c>
      <c r="I87" s="7" t="s">
        <v>28</v>
      </c>
      <c r="J87" s="8" t="s">
        <v>29</v>
      </c>
      <c r="K87" s="4">
        <v>46140</v>
      </c>
      <c r="L87" s="5" t="s">
        <v>126</v>
      </c>
      <c r="M87" s="8"/>
      <c r="N87" s="8"/>
      <c r="O87" s="5">
        <v>380060</v>
      </c>
      <c r="P87" s="9" t="s">
        <v>58</v>
      </c>
      <c r="Q87" s="9" t="s">
        <v>48</v>
      </c>
      <c r="R87" s="9" t="s">
        <v>41</v>
      </c>
      <c r="S87" s="9">
        <v>3</v>
      </c>
      <c r="T87" s="9" t="s">
        <v>67</v>
      </c>
      <c r="U87" s="5">
        <v>8950</v>
      </c>
      <c r="V87">
        <f t="shared" si="3"/>
        <v>26850</v>
      </c>
      <c r="W87" s="10">
        <v>0.18</v>
      </c>
      <c r="X87" s="11">
        <f t="shared" si="4"/>
        <v>4833</v>
      </c>
      <c r="Y87">
        <v>0</v>
      </c>
      <c r="Z87" s="11">
        <f t="shared" si="5"/>
        <v>31683</v>
      </c>
    </row>
    <row r="88" spans="1:26" ht="60">
      <c r="A88" s="4">
        <v>46140</v>
      </c>
      <c r="B88" s="5" t="s">
        <v>35</v>
      </c>
      <c r="C88" s="5" t="s">
        <v>35</v>
      </c>
      <c r="D88" s="5" t="s">
        <v>123</v>
      </c>
      <c r="E88" s="5" t="s">
        <v>124</v>
      </c>
      <c r="F88" s="6" t="s">
        <v>26</v>
      </c>
      <c r="G88" s="5" t="s">
        <v>125</v>
      </c>
      <c r="H88" s="5" t="s">
        <v>125</v>
      </c>
      <c r="I88" s="7" t="s">
        <v>28</v>
      </c>
      <c r="J88" s="8" t="s">
        <v>29</v>
      </c>
      <c r="K88" s="4">
        <v>46140</v>
      </c>
      <c r="L88" s="5" t="s">
        <v>126</v>
      </c>
      <c r="M88" s="8"/>
      <c r="N88" s="8"/>
      <c r="O88" s="5">
        <v>380060</v>
      </c>
      <c r="P88" s="9" t="s">
        <v>58</v>
      </c>
      <c r="Q88" s="9" t="s">
        <v>121</v>
      </c>
      <c r="R88" s="9" t="s">
        <v>41</v>
      </c>
      <c r="S88" s="9">
        <v>3</v>
      </c>
      <c r="T88" s="9" t="s">
        <v>67</v>
      </c>
      <c r="U88" s="5">
        <v>18200</v>
      </c>
      <c r="V88">
        <f t="shared" si="3"/>
        <v>54600</v>
      </c>
      <c r="W88" s="10">
        <v>0.18</v>
      </c>
      <c r="X88" s="11">
        <f t="shared" si="4"/>
        <v>9828</v>
      </c>
      <c r="Y88">
        <v>0</v>
      </c>
      <c r="Z88" s="11">
        <f t="shared" si="5"/>
        <v>64428</v>
      </c>
    </row>
    <row r="89" spans="1:26" ht="90">
      <c r="A89" s="4">
        <v>46141</v>
      </c>
      <c r="B89" s="9" t="s">
        <v>164</v>
      </c>
      <c r="C89" s="9" t="s">
        <v>164</v>
      </c>
      <c r="D89" s="9" t="s">
        <v>164</v>
      </c>
      <c r="E89" s="5" t="s">
        <v>165</v>
      </c>
      <c r="F89" s="6" t="s">
        <v>26</v>
      </c>
      <c r="G89" s="5" t="s">
        <v>166</v>
      </c>
      <c r="H89" s="5" t="s">
        <v>166</v>
      </c>
      <c r="I89" s="7" t="s">
        <v>28</v>
      </c>
      <c r="J89" s="8" t="s">
        <v>29</v>
      </c>
      <c r="K89" s="4">
        <v>46141</v>
      </c>
      <c r="L89" s="5" t="s">
        <v>167</v>
      </c>
      <c r="M89" s="8"/>
      <c r="N89" s="8"/>
      <c r="O89" s="5">
        <v>380015</v>
      </c>
      <c r="P89" s="9" t="s">
        <v>31</v>
      </c>
      <c r="Q89" s="9" t="s">
        <v>116</v>
      </c>
      <c r="R89" s="9" t="s">
        <v>41</v>
      </c>
      <c r="S89" s="9">
        <v>20</v>
      </c>
      <c r="T89" s="9" t="s">
        <v>168</v>
      </c>
      <c r="U89" s="5">
        <v>2000</v>
      </c>
      <c r="V89">
        <f t="shared" si="3"/>
        <v>40000</v>
      </c>
      <c r="W89" s="10">
        <v>0.18</v>
      </c>
      <c r="X89" s="11">
        <f t="shared" si="4"/>
        <v>7200</v>
      </c>
      <c r="Y89">
        <v>0</v>
      </c>
      <c r="Z89" s="11">
        <f t="shared" si="5"/>
        <v>47200</v>
      </c>
    </row>
    <row r="90" spans="1:26" ht="45">
      <c r="A90" s="4">
        <v>46144</v>
      </c>
      <c r="B90" s="5" t="s">
        <v>169</v>
      </c>
      <c r="C90" s="5" t="s">
        <v>169</v>
      </c>
      <c r="D90" s="5" t="s">
        <v>169</v>
      </c>
      <c r="E90" s="5" t="s">
        <v>170</v>
      </c>
      <c r="F90" s="6" t="s">
        <v>26</v>
      </c>
      <c r="G90" s="5" t="s">
        <v>171</v>
      </c>
      <c r="H90" s="5" t="s">
        <v>171</v>
      </c>
      <c r="I90" s="7" t="s">
        <v>28</v>
      </c>
      <c r="J90" s="8" t="s">
        <v>29</v>
      </c>
      <c r="K90" s="4">
        <v>46144</v>
      </c>
      <c r="L90" s="5" t="s">
        <v>172</v>
      </c>
      <c r="M90" s="8"/>
      <c r="N90" s="8"/>
      <c r="O90" s="5">
        <v>380061</v>
      </c>
      <c r="P90" s="9" t="s">
        <v>31</v>
      </c>
      <c r="Q90" s="9" t="s">
        <v>40</v>
      </c>
      <c r="R90" s="5" t="s">
        <v>90</v>
      </c>
      <c r="S90" s="9">
        <v>1</v>
      </c>
      <c r="T90" s="9" t="s">
        <v>34</v>
      </c>
      <c r="U90" s="5">
        <v>1690</v>
      </c>
      <c r="V90">
        <f t="shared" si="3"/>
        <v>1690</v>
      </c>
      <c r="W90" s="10">
        <v>0.18</v>
      </c>
      <c r="X90" s="11">
        <f t="shared" si="4"/>
        <v>304.2</v>
      </c>
      <c r="Y90">
        <v>0</v>
      </c>
      <c r="Z90" s="11">
        <f t="shared" si="5"/>
        <v>1994.2</v>
      </c>
    </row>
    <row r="91" spans="1:26" ht="60">
      <c r="A91" s="4">
        <v>46144</v>
      </c>
      <c r="B91" s="5" t="s">
        <v>173</v>
      </c>
      <c r="C91" s="5" t="s">
        <v>173</v>
      </c>
      <c r="D91" s="5" t="s">
        <v>95</v>
      </c>
      <c r="E91" s="5" t="s">
        <v>96</v>
      </c>
      <c r="F91" s="6" t="s">
        <v>26</v>
      </c>
      <c r="G91" s="5" t="s">
        <v>174</v>
      </c>
      <c r="H91" s="5" t="s">
        <v>174</v>
      </c>
      <c r="I91" s="7" t="s">
        <v>28</v>
      </c>
      <c r="J91" s="8" t="s">
        <v>29</v>
      </c>
      <c r="K91" s="5"/>
      <c r="L91" s="5" t="s">
        <v>175</v>
      </c>
      <c r="M91" s="8"/>
      <c r="N91" s="8"/>
      <c r="O91" s="5">
        <v>380059</v>
      </c>
      <c r="P91" s="9" t="s">
        <v>31</v>
      </c>
      <c r="Q91" s="9" t="s">
        <v>32</v>
      </c>
      <c r="R91" s="9" t="s">
        <v>47</v>
      </c>
      <c r="S91" s="9">
        <v>2</v>
      </c>
      <c r="T91" s="9" t="s">
        <v>34</v>
      </c>
      <c r="U91" s="5">
        <v>8910</v>
      </c>
      <c r="V91">
        <f t="shared" si="3"/>
        <v>17820</v>
      </c>
      <c r="W91" s="10">
        <v>0.18</v>
      </c>
      <c r="X91" s="11">
        <f t="shared" si="4"/>
        <v>3207.6</v>
      </c>
      <c r="Y91">
        <v>0</v>
      </c>
      <c r="Z91" s="11">
        <f t="shared" si="5"/>
        <v>21027.599999999999</v>
      </c>
    </row>
    <row r="92" spans="1:26" ht="75">
      <c r="A92" s="4">
        <v>46144</v>
      </c>
      <c r="B92" s="5" t="s">
        <v>35</v>
      </c>
      <c r="C92" s="5" t="s">
        <v>35</v>
      </c>
      <c r="D92" s="5" t="s">
        <v>36</v>
      </c>
      <c r="E92" s="5" t="s">
        <v>37</v>
      </c>
      <c r="F92" s="6" t="s">
        <v>26</v>
      </c>
      <c r="G92" s="5" t="s">
        <v>38</v>
      </c>
      <c r="H92" s="5" t="s">
        <v>38</v>
      </c>
      <c r="I92" s="7" t="s">
        <v>28</v>
      </c>
      <c r="J92" s="8" t="s">
        <v>29</v>
      </c>
      <c r="K92" s="5"/>
      <c r="L92" s="5" t="s">
        <v>39</v>
      </c>
      <c r="M92" s="8"/>
      <c r="N92" s="8"/>
      <c r="O92" s="5">
        <v>380060</v>
      </c>
      <c r="P92" s="9" t="s">
        <v>31</v>
      </c>
      <c r="Q92" s="9" t="s">
        <v>32</v>
      </c>
      <c r="R92" s="9" t="s">
        <v>90</v>
      </c>
      <c r="S92" s="9">
        <v>12</v>
      </c>
      <c r="T92" s="9" t="s">
        <v>34</v>
      </c>
      <c r="U92" s="5">
        <v>6950</v>
      </c>
      <c r="V92">
        <f t="shared" si="3"/>
        <v>83400</v>
      </c>
      <c r="W92" s="10">
        <v>0.18</v>
      </c>
      <c r="X92" s="11">
        <f t="shared" si="4"/>
        <v>15012</v>
      </c>
      <c r="Y92">
        <v>0</v>
      </c>
      <c r="Z92" s="11">
        <f t="shared" si="5"/>
        <v>98412</v>
      </c>
    </row>
    <row r="93" spans="1:26" ht="105">
      <c r="A93" s="4">
        <v>46149</v>
      </c>
      <c r="B93" s="5" t="s">
        <v>107</v>
      </c>
      <c r="C93" s="5" t="s">
        <v>107</v>
      </c>
      <c r="D93" s="5" t="s">
        <v>156</v>
      </c>
      <c r="E93" s="5" t="s">
        <v>157</v>
      </c>
      <c r="F93" s="6" t="s">
        <v>26</v>
      </c>
      <c r="G93" s="5" t="s">
        <v>158</v>
      </c>
      <c r="H93" s="5" t="s">
        <v>158</v>
      </c>
      <c r="I93" s="7" t="s">
        <v>28</v>
      </c>
      <c r="J93" s="8" t="s">
        <v>29</v>
      </c>
      <c r="K93" s="4">
        <v>46149</v>
      </c>
      <c r="L93" s="5" t="s">
        <v>159</v>
      </c>
      <c r="M93" s="8"/>
      <c r="N93" s="8"/>
      <c r="O93" s="5">
        <v>380059</v>
      </c>
      <c r="P93" s="9" t="s">
        <v>31</v>
      </c>
      <c r="Q93" s="9" t="s">
        <v>77</v>
      </c>
      <c r="R93" s="9" t="s">
        <v>33</v>
      </c>
      <c r="S93" s="9">
        <v>1</v>
      </c>
      <c r="T93" s="9" t="s">
        <v>34</v>
      </c>
      <c r="U93" s="5">
        <v>28325</v>
      </c>
      <c r="V93">
        <f t="shared" si="3"/>
        <v>28325</v>
      </c>
      <c r="W93" s="10">
        <v>0.18</v>
      </c>
      <c r="X93" s="11">
        <f t="shared" si="4"/>
        <v>5098.5</v>
      </c>
      <c r="Y93">
        <v>0</v>
      </c>
      <c r="Z93" s="11">
        <f t="shared" si="5"/>
        <v>33423.5</v>
      </c>
    </row>
    <row r="94" spans="1:26" ht="30">
      <c r="A94" s="4">
        <v>46149</v>
      </c>
      <c r="B94" s="9" t="s">
        <v>42</v>
      </c>
      <c r="C94" s="9" t="s">
        <v>42</v>
      </c>
      <c r="D94" s="9" t="s">
        <v>42</v>
      </c>
      <c r="E94" s="5" t="s">
        <v>43</v>
      </c>
      <c r="F94" s="6" t="s">
        <v>26</v>
      </c>
      <c r="G94" s="5" t="s">
        <v>44</v>
      </c>
      <c r="H94" s="5" t="s">
        <v>44</v>
      </c>
      <c r="I94" s="7" t="s">
        <v>28</v>
      </c>
      <c r="J94" s="8" t="s">
        <v>29</v>
      </c>
      <c r="K94" s="4">
        <v>46149</v>
      </c>
      <c r="L94" s="5" t="s">
        <v>45</v>
      </c>
      <c r="M94" s="8"/>
      <c r="N94" s="8"/>
      <c r="O94" s="5">
        <v>600001</v>
      </c>
      <c r="P94" s="9" t="s">
        <v>31</v>
      </c>
      <c r="Q94" s="9" t="s">
        <v>77</v>
      </c>
      <c r="R94" s="9" t="s">
        <v>41</v>
      </c>
      <c r="S94" s="9">
        <v>1</v>
      </c>
      <c r="T94" s="9" t="s">
        <v>34</v>
      </c>
      <c r="U94" s="5">
        <v>38500</v>
      </c>
      <c r="V94">
        <f t="shared" si="3"/>
        <v>38500</v>
      </c>
      <c r="W94" s="10">
        <v>0.18</v>
      </c>
      <c r="X94" s="11">
        <f t="shared" si="4"/>
        <v>6930</v>
      </c>
      <c r="Y94">
        <v>0</v>
      </c>
      <c r="Z94" s="11">
        <f t="shared" si="5"/>
        <v>45430</v>
      </c>
    </row>
    <row r="95" spans="1:26" ht="30">
      <c r="A95" s="4">
        <v>46149</v>
      </c>
      <c r="B95" s="9" t="s">
        <v>42</v>
      </c>
      <c r="C95" s="9" t="s">
        <v>42</v>
      </c>
      <c r="D95" s="9" t="s">
        <v>42</v>
      </c>
      <c r="E95" s="5" t="s">
        <v>43</v>
      </c>
      <c r="F95" s="6" t="s">
        <v>26</v>
      </c>
      <c r="G95" s="5" t="s">
        <v>44</v>
      </c>
      <c r="H95" s="5" t="s">
        <v>44</v>
      </c>
      <c r="I95" s="7" t="s">
        <v>28</v>
      </c>
      <c r="J95" s="8" t="s">
        <v>29</v>
      </c>
      <c r="K95" s="4">
        <v>46149</v>
      </c>
      <c r="L95" s="5" t="s">
        <v>45</v>
      </c>
      <c r="M95" s="8"/>
      <c r="N95" s="8"/>
      <c r="O95" s="5">
        <v>600001</v>
      </c>
      <c r="P95" s="9" t="s">
        <v>31</v>
      </c>
      <c r="Q95" s="9" t="s">
        <v>52</v>
      </c>
      <c r="R95" s="9" t="s">
        <v>33</v>
      </c>
      <c r="S95" s="9">
        <v>10</v>
      </c>
      <c r="T95" s="9" t="s">
        <v>34</v>
      </c>
      <c r="U95" s="5">
        <v>4350</v>
      </c>
      <c r="V95">
        <f t="shared" si="3"/>
        <v>43500</v>
      </c>
      <c r="W95" s="10">
        <v>0.18</v>
      </c>
      <c r="X95" s="11">
        <f t="shared" si="4"/>
        <v>7830</v>
      </c>
      <c r="Y95">
        <v>0</v>
      </c>
      <c r="Z95" s="11">
        <f t="shared" si="5"/>
        <v>51330</v>
      </c>
    </row>
    <row r="96" spans="1:26" ht="30">
      <c r="A96" s="4">
        <v>46149</v>
      </c>
      <c r="B96" s="9" t="s">
        <v>42</v>
      </c>
      <c r="C96" s="9" t="s">
        <v>42</v>
      </c>
      <c r="D96" s="9" t="s">
        <v>42</v>
      </c>
      <c r="E96" s="5" t="s">
        <v>43</v>
      </c>
      <c r="F96" s="6" t="s">
        <v>26</v>
      </c>
      <c r="G96" s="5" t="s">
        <v>44</v>
      </c>
      <c r="H96" s="5" t="s">
        <v>44</v>
      </c>
      <c r="I96" s="7" t="s">
        <v>28</v>
      </c>
      <c r="J96" s="8" t="s">
        <v>29</v>
      </c>
      <c r="K96" s="4">
        <v>46149</v>
      </c>
      <c r="L96" s="5" t="s">
        <v>45</v>
      </c>
      <c r="M96" s="8"/>
      <c r="N96" s="8"/>
      <c r="O96" s="5">
        <v>600001</v>
      </c>
      <c r="P96" s="9" t="s">
        <v>31</v>
      </c>
      <c r="Q96" s="9" t="s">
        <v>48</v>
      </c>
      <c r="R96" s="9" t="s">
        <v>33</v>
      </c>
      <c r="S96" s="9">
        <v>10</v>
      </c>
      <c r="T96" s="9" t="s">
        <v>34</v>
      </c>
      <c r="U96" s="5">
        <v>8600</v>
      </c>
      <c r="V96">
        <f t="shared" si="3"/>
        <v>86000</v>
      </c>
      <c r="W96" s="10">
        <v>0.18</v>
      </c>
      <c r="X96" s="11">
        <f t="shared" si="4"/>
        <v>15480</v>
      </c>
      <c r="Y96">
        <v>0</v>
      </c>
      <c r="Z96" s="11">
        <f t="shared" si="5"/>
        <v>101480</v>
      </c>
    </row>
    <row r="97" spans="1:26" ht="30">
      <c r="A97" s="4">
        <v>46149</v>
      </c>
      <c r="B97" s="9" t="s">
        <v>42</v>
      </c>
      <c r="C97" s="9" t="s">
        <v>42</v>
      </c>
      <c r="D97" s="9" t="s">
        <v>42</v>
      </c>
      <c r="E97" s="5" t="s">
        <v>43</v>
      </c>
      <c r="F97" s="6" t="s">
        <v>26</v>
      </c>
      <c r="G97" s="5" t="s">
        <v>44</v>
      </c>
      <c r="H97" s="5" t="s">
        <v>44</v>
      </c>
      <c r="I97" s="7" t="s">
        <v>28</v>
      </c>
      <c r="J97" s="8" t="s">
        <v>29</v>
      </c>
      <c r="K97" s="4">
        <v>46149</v>
      </c>
      <c r="L97" s="5" t="s">
        <v>45</v>
      </c>
      <c r="M97" s="8"/>
      <c r="N97" s="8"/>
      <c r="O97" s="5">
        <v>600001</v>
      </c>
      <c r="P97" s="9" t="s">
        <v>31</v>
      </c>
      <c r="Q97" s="9" t="s">
        <v>32</v>
      </c>
      <c r="R97" s="9" t="s">
        <v>33</v>
      </c>
      <c r="S97" s="9">
        <v>15</v>
      </c>
      <c r="T97" s="9" t="s">
        <v>34</v>
      </c>
      <c r="U97" s="5">
        <v>10300</v>
      </c>
      <c r="V97">
        <f t="shared" si="3"/>
        <v>154500</v>
      </c>
      <c r="W97" s="10">
        <v>0.18</v>
      </c>
      <c r="X97" s="11">
        <f t="shared" si="4"/>
        <v>27810</v>
      </c>
      <c r="Y97">
        <v>0</v>
      </c>
      <c r="Z97" s="11">
        <f t="shared" si="5"/>
        <v>182310</v>
      </c>
    </row>
    <row r="98" spans="1:26" ht="30">
      <c r="A98" s="4">
        <v>46149</v>
      </c>
      <c r="B98" s="9" t="s">
        <v>42</v>
      </c>
      <c r="C98" s="9" t="s">
        <v>42</v>
      </c>
      <c r="D98" s="9" t="s">
        <v>42</v>
      </c>
      <c r="E98" s="5" t="s">
        <v>43</v>
      </c>
      <c r="F98" s="6" t="s">
        <v>26</v>
      </c>
      <c r="G98" s="5" t="s">
        <v>44</v>
      </c>
      <c r="H98" s="5" t="s">
        <v>44</v>
      </c>
      <c r="I98" s="7" t="s">
        <v>28</v>
      </c>
      <c r="J98" s="8" t="s">
        <v>29</v>
      </c>
      <c r="K98" s="4">
        <v>46149</v>
      </c>
      <c r="L98" s="5" t="s">
        <v>45</v>
      </c>
      <c r="M98" s="8"/>
      <c r="N98" s="8"/>
      <c r="O98" s="5">
        <v>600001</v>
      </c>
      <c r="P98" s="9" t="s">
        <v>31</v>
      </c>
      <c r="Q98" s="9" t="s">
        <v>52</v>
      </c>
      <c r="R98" s="9" t="s">
        <v>50</v>
      </c>
      <c r="S98" s="9">
        <v>10</v>
      </c>
      <c r="T98" s="9" t="s">
        <v>34</v>
      </c>
      <c r="U98" s="5">
        <v>5450</v>
      </c>
      <c r="V98">
        <f t="shared" si="3"/>
        <v>54500</v>
      </c>
      <c r="W98" s="10">
        <v>0.18</v>
      </c>
      <c r="X98" s="11">
        <f t="shared" si="4"/>
        <v>9810</v>
      </c>
      <c r="Y98">
        <v>0</v>
      </c>
      <c r="Z98" s="11">
        <f t="shared" si="5"/>
        <v>64310</v>
      </c>
    </row>
    <row r="99" spans="1:26" ht="30">
      <c r="A99" s="4">
        <v>46149</v>
      </c>
      <c r="B99" s="9" t="s">
        <v>42</v>
      </c>
      <c r="C99" s="9" t="s">
        <v>42</v>
      </c>
      <c r="D99" s="9" t="s">
        <v>42</v>
      </c>
      <c r="E99" s="5" t="s">
        <v>43</v>
      </c>
      <c r="F99" s="6" t="s">
        <v>26</v>
      </c>
      <c r="G99" s="5" t="s">
        <v>44</v>
      </c>
      <c r="H99" s="5" t="s">
        <v>44</v>
      </c>
      <c r="I99" s="7" t="s">
        <v>28</v>
      </c>
      <c r="J99" s="8" t="s">
        <v>29</v>
      </c>
      <c r="K99" s="4">
        <v>46149</v>
      </c>
      <c r="L99" s="5" t="s">
        <v>45</v>
      </c>
      <c r="M99" s="8"/>
      <c r="N99" s="8"/>
      <c r="O99" s="5">
        <v>600001</v>
      </c>
      <c r="P99" s="9" t="s">
        <v>31</v>
      </c>
      <c r="Q99" s="9" t="s">
        <v>32</v>
      </c>
      <c r="R99" s="9" t="s">
        <v>50</v>
      </c>
      <c r="S99" s="9">
        <v>5</v>
      </c>
      <c r="T99" s="9" t="s">
        <v>34</v>
      </c>
      <c r="U99" s="5">
        <v>12500</v>
      </c>
      <c r="V99">
        <f t="shared" si="3"/>
        <v>62500</v>
      </c>
      <c r="W99" s="10">
        <v>0.18</v>
      </c>
      <c r="X99" s="11">
        <f t="shared" si="4"/>
        <v>11250</v>
      </c>
      <c r="Y99">
        <v>0</v>
      </c>
      <c r="Z99" s="11">
        <f t="shared" si="5"/>
        <v>73750</v>
      </c>
    </row>
    <row r="100" spans="1:26" ht="90">
      <c r="A100" s="4">
        <v>46149</v>
      </c>
      <c r="B100" s="5" t="s">
        <v>176</v>
      </c>
      <c r="C100" s="5" t="s">
        <v>176</v>
      </c>
      <c r="D100" s="5" t="s">
        <v>176</v>
      </c>
      <c r="E100" s="5" t="s">
        <v>177</v>
      </c>
      <c r="F100" s="6" t="s">
        <v>26</v>
      </c>
      <c r="G100" s="5" t="s">
        <v>178</v>
      </c>
      <c r="H100" s="5" t="s">
        <v>178</v>
      </c>
      <c r="I100" s="7" t="s">
        <v>28</v>
      </c>
      <c r="J100" s="8" t="s">
        <v>29</v>
      </c>
      <c r="K100" s="4">
        <v>46149</v>
      </c>
      <c r="L100" s="5" t="s">
        <v>179</v>
      </c>
      <c r="M100" s="8"/>
      <c r="N100" s="8"/>
      <c r="O100" s="5">
        <v>380058</v>
      </c>
      <c r="P100" s="9" t="s">
        <v>31</v>
      </c>
      <c r="Q100" s="9" t="s">
        <v>32</v>
      </c>
      <c r="R100" s="9" t="s">
        <v>90</v>
      </c>
      <c r="S100" s="9">
        <v>18</v>
      </c>
      <c r="T100" s="9" t="s">
        <v>180</v>
      </c>
      <c r="U100" s="5">
        <v>5289</v>
      </c>
      <c r="V100">
        <f t="shared" si="3"/>
        <v>95202</v>
      </c>
      <c r="W100" s="10">
        <v>0.18</v>
      </c>
      <c r="X100" s="11">
        <f t="shared" si="4"/>
        <v>17136.36</v>
      </c>
      <c r="Y100">
        <v>0</v>
      </c>
      <c r="Z100" s="11">
        <f t="shared" si="5"/>
        <v>112338.36</v>
      </c>
    </row>
    <row r="101" spans="1:26" ht="120">
      <c r="A101" s="4">
        <v>46149</v>
      </c>
      <c r="B101" s="5" t="s">
        <v>176</v>
      </c>
      <c r="C101" s="5" t="s">
        <v>176</v>
      </c>
      <c r="D101" s="5" t="s">
        <v>181</v>
      </c>
      <c r="E101" s="5" t="s">
        <v>182</v>
      </c>
      <c r="F101" s="6" t="s">
        <v>26</v>
      </c>
      <c r="G101" s="5" t="s">
        <v>183</v>
      </c>
      <c r="H101" s="5" t="s">
        <v>183</v>
      </c>
      <c r="I101" s="7" t="s">
        <v>28</v>
      </c>
      <c r="J101" s="8" t="s">
        <v>29</v>
      </c>
      <c r="K101" s="4">
        <v>46149</v>
      </c>
      <c r="L101" s="5" t="s">
        <v>184</v>
      </c>
      <c r="M101" s="8"/>
      <c r="N101" s="8"/>
      <c r="O101" s="5">
        <v>380054</v>
      </c>
      <c r="P101" s="9" t="s">
        <v>57</v>
      </c>
      <c r="Q101" s="9" t="s">
        <v>121</v>
      </c>
      <c r="R101" s="9" t="s">
        <v>90</v>
      </c>
      <c r="S101" s="9">
        <v>1</v>
      </c>
      <c r="T101" s="9" t="s">
        <v>180</v>
      </c>
      <c r="U101" s="5">
        <v>6638</v>
      </c>
      <c r="V101">
        <f t="shared" si="3"/>
        <v>6638</v>
      </c>
      <c r="W101" s="10">
        <v>0.18</v>
      </c>
      <c r="X101" s="11">
        <f t="shared" si="4"/>
        <v>1194.8399999999999</v>
      </c>
      <c r="Y101">
        <v>0</v>
      </c>
      <c r="Z101" s="11">
        <f t="shared" si="5"/>
        <v>7832.84</v>
      </c>
    </row>
    <row r="102" spans="1:26" ht="60">
      <c r="A102" s="4">
        <v>46148</v>
      </c>
      <c r="B102" s="5" t="s">
        <v>35</v>
      </c>
      <c r="C102" s="5" t="s">
        <v>35</v>
      </c>
      <c r="D102" s="5" t="s">
        <v>123</v>
      </c>
      <c r="E102" s="5" t="s">
        <v>124</v>
      </c>
      <c r="F102" s="6" t="s">
        <v>26</v>
      </c>
      <c r="G102" s="5" t="s">
        <v>125</v>
      </c>
      <c r="H102" s="5" t="s">
        <v>125</v>
      </c>
      <c r="I102" s="7" t="s">
        <v>28</v>
      </c>
      <c r="J102" s="8" t="s">
        <v>29</v>
      </c>
      <c r="K102" s="4">
        <v>46148</v>
      </c>
      <c r="L102" s="5" t="s">
        <v>126</v>
      </c>
      <c r="M102" s="8"/>
      <c r="N102" s="8"/>
      <c r="O102" s="5">
        <v>380060</v>
      </c>
      <c r="P102" s="9" t="s">
        <v>31</v>
      </c>
      <c r="Q102" s="9" t="s">
        <v>89</v>
      </c>
      <c r="R102" s="9" t="s">
        <v>41</v>
      </c>
      <c r="S102" s="9">
        <v>10</v>
      </c>
      <c r="T102" s="9" t="s">
        <v>34</v>
      </c>
      <c r="U102" s="5">
        <v>2895</v>
      </c>
      <c r="V102">
        <f t="shared" si="3"/>
        <v>28950</v>
      </c>
      <c r="W102" s="10">
        <v>0.18</v>
      </c>
      <c r="X102" s="11">
        <f t="shared" si="4"/>
        <v>5211</v>
      </c>
      <c r="Y102">
        <v>0</v>
      </c>
      <c r="Z102" s="11">
        <f t="shared" si="5"/>
        <v>34161</v>
      </c>
    </row>
    <row r="103" spans="1:26" ht="60">
      <c r="A103" s="4">
        <v>46148</v>
      </c>
      <c r="B103" s="5" t="s">
        <v>35</v>
      </c>
      <c r="C103" s="5" t="s">
        <v>35</v>
      </c>
      <c r="D103" s="5" t="s">
        <v>123</v>
      </c>
      <c r="E103" s="5" t="s">
        <v>124</v>
      </c>
      <c r="F103" s="6" t="s">
        <v>26</v>
      </c>
      <c r="G103" s="5" t="s">
        <v>125</v>
      </c>
      <c r="H103" s="5" t="s">
        <v>125</v>
      </c>
      <c r="I103" s="7" t="s">
        <v>28</v>
      </c>
      <c r="J103" s="8" t="s">
        <v>29</v>
      </c>
      <c r="K103" s="4">
        <v>46148</v>
      </c>
      <c r="L103" s="5" t="s">
        <v>126</v>
      </c>
      <c r="M103" s="8"/>
      <c r="N103" s="8"/>
      <c r="O103" s="5">
        <v>380060</v>
      </c>
      <c r="P103" s="9" t="s">
        <v>31</v>
      </c>
      <c r="Q103" s="9" t="s">
        <v>121</v>
      </c>
      <c r="R103" s="9" t="s">
        <v>50</v>
      </c>
      <c r="S103" s="9">
        <v>8</v>
      </c>
      <c r="T103" s="9" t="s">
        <v>34</v>
      </c>
      <c r="U103" s="5">
        <v>17500</v>
      </c>
      <c r="V103">
        <f t="shared" si="3"/>
        <v>140000</v>
      </c>
      <c r="W103" s="10">
        <v>0.18</v>
      </c>
      <c r="X103" s="11">
        <f t="shared" si="4"/>
        <v>25200</v>
      </c>
      <c r="Y103">
        <v>0</v>
      </c>
      <c r="Z103" s="11">
        <f t="shared" si="5"/>
        <v>165200</v>
      </c>
    </row>
    <row r="104" spans="1:26" ht="60">
      <c r="A104" s="4">
        <v>46148</v>
      </c>
      <c r="B104" s="5" t="s">
        <v>35</v>
      </c>
      <c r="C104" s="5" t="s">
        <v>35</v>
      </c>
      <c r="D104" s="5" t="s">
        <v>123</v>
      </c>
      <c r="E104" s="5" t="s">
        <v>124</v>
      </c>
      <c r="F104" s="6" t="s">
        <v>26</v>
      </c>
      <c r="G104" s="5" t="s">
        <v>125</v>
      </c>
      <c r="H104" s="5" t="s">
        <v>125</v>
      </c>
      <c r="I104" s="7" t="s">
        <v>28</v>
      </c>
      <c r="J104" s="8" t="s">
        <v>29</v>
      </c>
      <c r="K104" s="4">
        <v>46148</v>
      </c>
      <c r="L104" s="5" t="s">
        <v>126</v>
      </c>
      <c r="M104" s="8"/>
      <c r="N104" s="8"/>
      <c r="O104" s="5">
        <v>380060</v>
      </c>
      <c r="P104" s="9" t="s">
        <v>31</v>
      </c>
      <c r="Q104" s="9" t="s">
        <v>72</v>
      </c>
      <c r="R104" s="9" t="s">
        <v>50</v>
      </c>
      <c r="S104" s="9">
        <v>1</v>
      </c>
      <c r="T104" s="9" t="s">
        <v>34</v>
      </c>
      <c r="U104" s="5">
        <v>29800</v>
      </c>
      <c r="V104">
        <f t="shared" si="3"/>
        <v>29800</v>
      </c>
      <c r="W104" s="10">
        <v>0.18</v>
      </c>
      <c r="X104" s="11">
        <f t="shared" si="4"/>
        <v>5364</v>
      </c>
      <c r="Y104">
        <v>0</v>
      </c>
      <c r="Z104" s="11">
        <f t="shared" si="5"/>
        <v>35164</v>
      </c>
    </row>
    <row r="105" spans="1:26" ht="60">
      <c r="A105" s="4">
        <v>46149</v>
      </c>
      <c r="B105" s="5" t="s">
        <v>185</v>
      </c>
      <c r="C105" s="5" t="s">
        <v>185</v>
      </c>
      <c r="D105" s="5" t="s">
        <v>185</v>
      </c>
      <c r="E105" s="5" t="s">
        <v>186</v>
      </c>
      <c r="F105" s="6" t="s">
        <v>26</v>
      </c>
      <c r="G105" s="5" t="s">
        <v>187</v>
      </c>
      <c r="H105" s="5" t="s">
        <v>187</v>
      </c>
      <c r="I105" s="7" t="s">
        <v>28</v>
      </c>
      <c r="J105" s="8" t="s">
        <v>29</v>
      </c>
      <c r="K105" s="4">
        <v>46149</v>
      </c>
      <c r="L105" s="5" t="s">
        <v>188</v>
      </c>
      <c r="M105" s="8"/>
      <c r="N105" s="8"/>
      <c r="O105" s="5">
        <v>361001</v>
      </c>
      <c r="P105" s="9" t="s">
        <v>31</v>
      </c>
      <c r="Q105" s="9" t="s">
        <v>48</v>
      </c>
      <c r="R105" s="9" t="s">
        <v>41</v>
      </c>
      <c r="S105" s="9">
        <v>30</v>
      </c>
      <c r="T105" s="9" t="s">
        <v>189</v>
      </c>
      <c r="U105" s="5">
        <v>4600</v>
      </c>
      <c r="V105">
        <f t="shared" si="3"/>
        <v>138000</v>
      </c>
      <c r="W105" s="10">
        <v>0.18</v>
      </c>
      <c r="X105" s="11">
        <f t="shared" si="4"/>
        <v>24840</v>
      </c>
      <c r="Y105">
        <v>0</v>
      </c>
      <c r="Z105" s="11">
        <f t="shared" si="5"/>
        <v>162840</v>
      </c>
    </row>
    <row r="106" spans="1:26" ht="60">
      <c r="A106" s="4">
        <v>46149</v>
      </c>
      <c r="B106" s="5" t="s">
        <v>185</v>
      </c>
      <c r="C106" s="5" t="s">
        <v>185</v>
      </c>
      <c r="D106" s="5" t="s">
        <v>185</v>
      </c>
      <c r="E106" s="5" t="s">
        <v>186</v>
      </c>
      <c r="F106" s="6" t="s">
        <v>26</v>
      </c>
      <c r="G106" s="5" t="s">
        <v>187</v>
      </c>
      <c r="H106" s="5" t="s">
        <v>187</v>
      </c>
      <c r="I106" s="7" t="s">
        <v>28</v>
      </c>
      <c r="J106" s="8" t="s">
        <v>29</v>
      </c>
      <c r="K106" s="4">
        <v>46149</v>
      </c>
      <c r="L106" s="5" t="s">
        <v>188</v>
      </c>
      <c r="M106" s="8"/>
      <c r="N106" s="8"/>
      <c r="O106" s="5">
        <v>361001</v>
      </c>
      <c r="P106" s="9" t="s">
        <v>31</v>
      </c>
      <c r="Q106" s="9" t="s">
        <v>32</v>
      </c>
      <c r="R106" s="9" t="s">
        <v>41</v>
      </c>
      <c r="S106" s="9">
        <v>30</v>
      </c>
      <c r="T106" s="9" t="s">
        <v>189</v>
      </c>
      <c r="U106" s="5">
        <v>6950</v>
      </c>
      <c r="V106">
        <f t="shared" si="3"/>
        <v>208500</v>
      </c>
      <c r="W106" s="10">
        <v>0.18</v>
      </c>
      <c r="X106" s="11">
        <f t="shared" si="4"/>
        <v>37530</v>
      </c>
      <c r="Y106">
        <v>0</v>
      </c>
      <c r="Z106" s="11">
        <f t="shared" si="5"/>
        <v>246030</v>
      </c>
    </row>
    <row r="107" spans="1:26" ht="60">
      <c r="A107" s="4">
        <v>46149</v>
      </c>
      <c r="B107" s="5" t="s">
        <v>185</v>
      </c>
      <c r="C107" s="5" t="s">
        <v>185</v>
      </c>
      <c r="D107" s="5" t="s">
        <v>185</v>
      </c>
      <c r="E107" s="5" t="s">
        <v>186</v>
      </c>
      <c r="F107" s="6" t="s">
        <v>26</v>
      </c>
      <c r="G107" s="5" t="s">
        <v>187</v>
      </c>
      <c r="H107" s="5" t="s">
        <v>187</v>
      </c>
      <c r="I107" s="7" t="s">
        <v>28</v>
      </c>
      <c r="J107" s="8" t="s">
        <v>29</v>
      </c>
      <c r="K107" s="4">
        <v>46149</v>
      </c>
      <c r="L107" s="5" t="s">
        <v>188</v>
      </c>
      <c r="M107" s="8"/>
      <c r="N107" s="8"/>
      <c r="O107" s="5">
        <v>361001</v>
      </c>
      <c r="P107" s="9" t="s">
        <v>57</v>
      </c>
      <c r="Q107" s="9" t="s">
        <v>32</v>
      </c>
      <c r="R107" s="9" t="s">
        <v>41</v>
      </c>
      <c r="S107" s="9">
        <v>8</v>
      </c>
      <c r="T107" s="9" t="s">
        <v>189</v>
      </c>
      <c r="U107" s="5">
        <v>8000</v>
      </c>
      <c r="V107">
        <f t="shared" si="3"/>
        <v>64000</v>
      </c>
      <c r="W107" s="10">
        <v>0.18</v>
      </c>
      <c r="X107" s="11">
        <f t="shared" si="4"/>
        <v>11520</v>
      </c>
      <c r="Y107">
        <v>0</v>
      </c>
      <c r="Z107" s="11">
        <f t="shared" si="5"/>
        <v>75520</v>
      </c>
    </row>
    <row r="108" spans="1:26" ht="75">
      <c r="A108" s="4">
        <v>46149</v>
      </c>
      <c r="B108" s="5" t="s">
        <v>190</v>
      </c>
      <c r="C108" s="5" t="s">
        <v>190</v>
      </c>
      <c r="D108" s="5" t="s">
        <v>190</v>
      </c>
      <c r="E108" s="5" t="s">
        <v>191</v>
      </c>
      <c r="F108" s="6" t="s">
        <v>26</v>
      </c>
      <c r="G108" s="5" t="s">
        <v>192</v>
      </c>
      <c r="H108" s="5" t="s">
        <v>192</v>
      </c>
      <c r="I108" s="7" t="s">
        <v>28</v>
      </c>
      <c r="J108" s="8" t="s">
        <v>29</v>
      </c>
      <c r="K108" s="4">
        <v>46149</v>
      </c>
      <c r="L108" s="5" t="s">
        <v>193</v>
      </c>
      <c r="M108" s="8"/>
      <c r="N108" s="8"/>
      <c r="O108" s="5">
        <v>395007</v>
      </c>
      <c r="P108" s="9" t="s">
        <v>58</v>
      </c>
      <c r="Q108" s="9" t="s">
        <v>32</v>
      </c>
      <c r="R108" s="9" t="s">
        <v>33</v>
      </c>
      <c r="S108" s="9">
        <v>10</v>
      </c>
      <c r="T108" s="9" t="s">
        <v>67</v>
      </c>
      <c r="U108" s="5">
        <v>100</v>
      </c>
      <c r="V108">
        <f t="shared" si="3"/>
        <v>1000</v>
      </c>
      <c r="W108" s="10">
        <v>0.18</v>
      </c>
      <c r="X108" s="11">
        <f t="shared" si="4"/>
        <v>180</v>
      </c>
      <c r="Y108">
        <v>0</v>
      </c>
      <c r="Z108" s="11">
        <f t="shared" si="5"/>
        <v>1180</v>
      </c>
    </row>
    <row r="109" spans="1:26" ht="75">
      <c r="A109" s="4">
        <v>46149</v>
      </c>
      <c r="B109" s="5" t="s">
        <v>190</v>
      </c>
      <c r="C109" s="5" t="s">
        <v>190</v>
      </c>
      <c r="D109" s="5" t="s">
        <v>190</v>
      </c>
      <c r="E109" s="5" t="s">
        <v>191</v>
      </c>
      <c r="F109" s="6" t="s">
        <v>26</v>
      </c>
      <c r="G109" s="5" t="s">
        <v>192</v>
      </c>
      <c r="H109" s="5" t="s">
        <v>192</v>
      </c>
      <c r="I109" s="7" t="s">
        <v>28</v>
      </c>
      <c r="J109" s="8" t="s">
        <v>29</v>
      </c>
      <c r="K109" s="4">
        <v>46149</v>
      </c>
      <c r="L109" s="5" t="s">
        <v>193</v>
      </c>
      <c r="M109" s="8"/>
      <c r="N109" s="8"/>
      <c r="O109" s="5">
        <v>395007</v>
      </c>
      <c r="P109" s="9" t="s">
        <v>58</v>
      </c>
      <c r="Q109" s="9" t="s">
        <v>32</v>
      </c>
      <c r="R109" s="9" t="s">
        <v>90</v>
      </c>
      <c r="S109" s="9">
        <v>1</v>
      </c>
      <c r="T109" s="9" t="s">
        <v>67</v>
      </c>
      <c r="U109" s="5">
        <v>100</v>
      </c>
      <c r="V109">
        <f t="shared" si="3"/>
        <v>100</v>
      </c>
      <c r="W109" s="10">
        <v>0.18</v>
      </c>
      <c r="X109" s="11">
        <f t="shared" si="4"/>
        <v>18</v>
      </c>
      <c r="Y109">
        <v>0</v>
      </c>
      <c r="Z109" s="11">
        <f t="shared" si="5"/>
        <v>118</v>
      </c>
    </row>
    <row r="110" spans="1:26" ht="60">
      <c r="A110" s="4">
        <v>46154</v>
      </c>
      <c r="B110" s="5" t="s">
        <v>194</v>
      </c>
      <c r="C110" s="5" t="s">
        <v>194</v>
      </c>
      <c r="D110" s="5" t="s">
        <v>194</v>
      </c>
      <c r="E110" s="5" t="s">
        <v>195</v>
      </c>
      <c r="F110" s="6" t="s">
        <v>26</v>
      </c>
      <c r="G110" s="5" t="s">
        <v>196</v>
      </c>
      <c r="H110" s="5" t="s">
        <v>196</v>
      </c>
      <c r="I110" s="7" t="s">
        <v>28</v>
      </c>
      <c r="J110" s="8" t="s">
        <v>29</v>
      </c>
      <c r="K110" s="4">
        <v>46154</v>
      </c>
      <c r="L110" s="5" t="s">
        <v>197</v>
      </c>
      <c r="M110" s="8"/>
      <c r="N110" s="8"/>
      <c r="O110" s="5">
        <v>380015</v>
      </c>
      <c r="P110" s="9" t="s">
        <v>58</v>
      </c>
      <c r="Q110" s="9" t="s">
        <v>32</v>
      </c>
      <c r="R110" s="9" t="s">
        <v>50</v>
      </c>
      <c r="S110" s="9">
        <v>2</v>
      </c>
      <c r="T110" s="9" t="s">
        <v>67</v>
      </c>
      <c r="U110" s="5">
        <v>8600</v>
      </c>
      <c r="V110">
        <f t="shared" si="3"/>
        <v>17200</v>
      </c>
      <c r="W110" s="10">
        <v>0.18</v>
      </c>
      <c r="X110" s="11">
        <f t="shared" si="4"/>
        <v>3096</v>
      </c>
      <c r="Y110">
        <v>0</v>
      </c>
      <c r="Z110" s="11">
        <f t="shared" si="5"/>
        <v>20296</v>
      </c>
    </row>
    <row r="111" spans="1:26" ht="60">
      <c r="A111" s="4">
        <v>46154</v>
      </c>
      <c r="B111" s="5" t="s">
        <v>194</v>
      </c>
      <c r="C111" s="5" t="s">
        <v>194</v>
      </c>
      <c r="D111" s="5" t="s">
        <v>194</v>
      </c>
      <c r="E111" s="5" t="s">
        <v>195</v>
      </c>
      <c r="F111" s="6" t="s">
        <v>26</v>
      </c>
      <c r="G111" s="5" t="s">
        <v>196</v>
      </c>
      <c r="H111" s="5" t="s">
        <v>196</v>
      </c>
      <c r="I111" s="7" t="s">
        <v>28</v>
      </c>
      <c r="J111" s="8" t="s">
        <v>29</v>
      </c>
      <c r="K111" s="4">
        <v>46154</v>
      </c>
      <c r="L111" s="5" t="s">
        <v>197</v>
      </c>
      <c r="M111" s="8"/>
      <c r="N111" s="8"/>
      <c r="O111" s="5">
        <v>380015</v>
      </c>
      <c r="P111" s="9" t="s">
        <v>58</v>
      </c>
      <c r="Q111" s="9" t="s">
        <v>32</v>
      </c>
      <c r="R111" s="9" t="s">
        <v>41</v>
      </c>
      <c r="S111" s="9">
        <v>1</v>
      </c>
      <c r="T111" s="9" t="s">
        <v>67</v>
      </c>
      <c r="U111" s="5">
        <v>5790</v>
      </c>
      <c r="V111">
        <f t="shared" si="3"/>
        <v>5790</v>
      </c>
      <c r="W111" s="10">
        <v>0.18</v>
      </c>
      <c r="X111" s="11">
        <f t="shared" si="4"/>
        <v>1042.2</v>
      </c>
      <c r="Y111">
        <v>0</v>
      </c>
      <c r="Z111" s="11">
        <f t="shared" si="5"/>
        <v>6832.2</v>
      </c>
    </row>
    <row r="112" spans="1:26" ht="60">
      <c r="A112" s="4">
        <v>46154</v>
      </c>
      <c r="B112" s="5" t="s">
        <v>194</v>
      </c>
      <c r="C112" s="5" t="s">
        <v>194</v>
      </c>
      <c r="D112" s="5" t="s">
        <v>194</v>
      </c>
      <c r="E112" s="5" t="s">
        <v>195</v>
      </c>
      <c r="F112" s="6" t="s">
        <v>26</v>
      </c>
      <c r="G112" s="5" t="s">
        <v>196</v>
      </c>
      <c r="H112" s="5" t="s">
        <v>196</v>
      </c>
      <c r="I112" s="7" t="s">
        <v>28</v>
      </c>
      <c r="J112" s="8" t="s">
        <v>29</v>
      </c>
      <c r="K112" s="4">
        <v>46154</v>
      </c>
      <c r="L112" s="5" t="s">
        <v>197</v>
      </c>
      <c r="M112" s="8"/>
      <c r="N112" s="8"/>
      <c r="O112" s="5">
        <v>380015</v>
      </c>
      <c r="P112" s="9" t="s">
        <v>31</v>
      </c>
      <c r="Q112" s="9" t="s">
        <v>72</v>
      </c>
      <c r="R112" s="9" t="s">
        <v>47</v>
      </c>
      <c r="S112" s="9">
        <v>1</v>
      </c>
      <c r="T112" s="9" t="s">
        <v>34</v>
      </c>
      <c r="U112" s="5">
        <v>22990</v>
      </c>
      <c r="V112">
        <f t="shared" si="3"/>
        <v>22990</v>
      </c>
      <c r="W112" s="10">
        <v>0.18</v>
      </c>
      <c r="X112" s="11">
        <f t="shared" si="4"/>
        <v>4138.2</v>
      </c>
      <c r="Y112">
        <v>0</v>
      </c>
      <c r="Z112" s="11">
        <f t="shared" si="5"/>
        <v>27128.2</v>
      </c>
    </row>
    <row r="113" spans="1:26" ht="90">
      <c r="A113" s="4">
        <v>46155</v>
      </c>
      <c r="B113" s="5" t="s">
        <v>73</v>
      </c>
      <c r="C113" s="5" t="s">
        <v>73</v>
      </c>
      <c r="D113" s="5" t="s">
        <v>73</v>
      </c>
      <c r="E113" s="5" t="s">
        <v>74</v>
      </c>
      <c r="F113" s="6" t="s">
        <v>26</v>
      </c>
      <c r="G113" s="5" t="s">
        <v>75</v>
      </c>
      <c r="H113" s="5" t="s">
        <v>75</v>
      </c>
      <c r="I113" s="7" t="s">
        <v>28</v>
      </c>
      <c r="J113" s="8" t="s">
        <v>29</v>
      </c>
      <c r="K113" s="4">
        <v>46155</v>
      </c>
      <c r="L113" s="5" t="s">
        <v>76</v>
      </c>
      <c r="M113" s="8"/>
      <c r="N113" s="8"/>
      <c r="O113" s="5">
        <v>382415</v>
      </c>
      <c r="P113" s="9" t="s">
        <v>31</v>
      </c>
      <c r="Q113" s="9" t="s">
        <v>77</v>
      </c>
      <c r="R113" s="9" t="s">
        <v>41</v>
      </c>
      <c r="S113" s="9">
        <v>7</v>
      </c>
      <c r="T113" s="9" t="s">
        <v>34</v>
      </c>
      <c r="U113" s="5">
        <v>21714</v>
      </c>
      <c r="V113">
        <f t="shared" si="3"/>
        <v>151998</v>
      </c>
      <c r="W113" s="10">
        <v>0.18</v>
      </c>
      <c r="X113" s="11">
        <f t="shared" si="4"/>
        <v>27359.64</v>
      </c>
      <c r="Y113">
        <v>0</v>
      </c>
      <c r="Z113" s="11">
        <f t="shared" si="5"/>
        <v>179357.64</v>
      </c>
    </row>
    <row r="114" spans="1:26" ht="90">
      <c r="A114" s="4">
        <v>46155</v>
      </c>
      <c r="B114" s="5" t="s">
        <v>73</v>
      </c>
      <c r="C114" s="5" t="s">
        <v>73</v>
      </c>
      <c r="D114" s="5" t="s">
        <v>73</v>
      </c>
      <c r="E114" s="5" t="s">
        <v>74</v>
      </c>
      <c r="F114" s="6" t="s">
        <v>26</v>
      </c>
      <c r="G114" s="5" t="s">
        <v>75</v>
      </c>
      <c r="H114" s="5" t="s">
        <v>75</v>
      </c>
      <c r="I114" s="7" t="s">
        <v>28</v>
      </c>
      <c r="J114" s="8" t="s">
        <v>29</v>
      </c>
      <c r="K114" s="4">
        <v>46155</v>
      </c>
      <c r="L114" s="5" t="s">
        <v>76</v>
      </c>
      <c r="M114" s="8"/>
      <c r="N114" s="8"/>
      <c r="O114" s="5">
        <v>382415</v>
      </c>
      <c r="P114" s="9" t="s">
        <v>31</v>
      </c>
      <c r="Q114" s="9" t="s">
        <v>77</v>
      </c>
      <c r="R114" s="9" t="s">
        <v>41</v>
      </c>
      <c r="S114" s="9">
        <v>15</v>
      </c>
      <c r="T114" s="9" t="s">
        <v>34</v>
      </c>
      <c r="U114" s="5">
        <v>21714</v>
      </c>
      <c r="V114">
        <f t="shared" si="3"/>
        <v>325710</v>
      </c>
      <c r="W114" s="10">
        <v>0.18</v>
      </c>
      <c r="X114" s="11">
        <f t="shared" si="4"/>
        <v>58627.8</v>
      </c>
      <c r="Y114">
        <v>0</v>
      </c>
      <c r="Z114" s="11">
        <f t="shared" si="5"/>
        <v>384337.8</v>
      </c>
    </row>
    <row r="115" spans="1:26" ht="90">
      <c r="A115" s="4">
        <v>46155</v>
      </c>
      <c r="B115" s="5" t="s">
        <v>73</v>
      </c>
      <c r="C115" s="5" t="s">
        <v>73</v>
      </c>
      <c r="D115" s="5" t="s">
        <v>73</v>
      </c>
      <c r="E115" s="5" t="s">
        <v>74</v>
      </c>
      <c r="F115" s="6" t="s">
        <v>26</v>
      </c>
      <c r="G115" s="5" t="s">
        <v>75</v>
      </c>
      <c r="H115" s="5" t="s">
        <v>75</v>
      </c>
      <c r="I115" s="7" t="s">
        <v>28</v>
      </c>
      <c r="J115" s="8" t="s">
        <v>29</v>
      </c>
      <c r="K115" s="4">
        <v>46155</v>
      </c>
      <c r="L115" s="5" t="s">
        <v>76</v>
      </c>
      <c r="M115" s="8"/>
      <c r="N115" s="8"/>
      <c r="O115" s="5">
        <v>382415</v>
      </c>
      <c r="P115" s="9" t="s">
        <v>31</v>
      </c>
      <c r="Q115" s="9" t="s">
        <v>78</v>
      </c>
      <c r="R115" s="9" t="s">
        <v>41</v>
      </c>
      <c r="S115" s="9">
        <v>9</v>
      </c>
      <c r="T115" s="9" t="s">
        <v>34</v>
      </c>
      <c r="U115" s="5">
        <v>36010</v>
      </c>
      <c r="V115">
        <f t="shared" ref="V115:V170" si="6">U115*S115</f>
        <v>324090</v>
      </c>
      <c r="W115" s="10">
        <v>0.18</v>
      </c>
      <c r="X115" s="11">
        <f t="shared" ref="X115:X170" si="7">V115*W115</f>
        <v>58336.2</v>
      </c>
      <c r="Y115">
        <v>0</v>
      </c>
      <c r="Z115" s="11">
        <f t="shared" ref="Z115:Z170" si="8">V115+X115</f>
        <v>382426.2</v>
      </c>
    </row>
    <row r="116" spans="1:26" ht="90">
      <c r="A116" s="4">
        <v>46155</v>
      </c>
      <c r="B116" s="5" t="s">
        <v>73</v>
      </c>
      <c r="C116" s="5" t="s">
        <v>73</v>
      </c>
      <c r="D116" s="5" t="s">
        <v>73</v>
      </c>
      <c r="E116" s="5" t="s">
        <v>74</v>
      </c>
      <c r="F116" s="6" t="s">
        <v>26</v>
      </c>
      <c r="G116" s="5" t="s">
        <v>75</v>
      </c>
      <c r="H116" s="5" t="s">
        <v>75</v>
      </c>
      <c r="I116" s="7" t="s">
        <v>28</v>
      </c>
      <c r="J116" s="8" t="s">
        <v>29</v>
      </c>
      <c r="K116" s="4">
        <v>46155</v>
      </c>
      <c r="L116" s="5" t="s">
        <v>76</v>
      </c>
      <c r="M116" s="8"/>
      <c r="N116" s="8"/>
      <c r="O116" s="5">
        <v>382415</v>
      </c>
      <c r="P116" s="9" t="s">
        <v>31</v>
      </c>
      <c r="Q116" s="9" t="s">
        <v>46</v>
      </c>
      <c r="R116" s="9" t="s">
        <v>41</v>
      </c>
      <c r="S116" s="9">
        <v>32</v>
      </c>
      <c r="T116" s="9" t="s">
        <v>34</v>
      </c>
      <c r="U116" s="5">
        <v>14946</v>
      </c>
      <c r="V116">
        <f t="shared" si="6"/>
        <v>478272</v>
      </c>
      <c r="W116" s="10">
        <v>0.18</v>
      </c>
      <c r="X116" s="11">
        <f t="shared" si="7"/>
        <v>86088.960000000006</v>
      </c>
      <c r="Y116">
        <v>0</v>
      </c>
      <c r="Z116" s="11">
        <f t="shared" si="8"/>
        <v>564360.95999999996</v>
      </c>
    </row>
    <row r="117" spans="1:26" ht="90">
      <c r="A117" s="4">
        <v>46155</v>
      </c>
      <c r="B117" s="5" t="s">
        <v>73</v>
      </c>
      <c r="C117" s="5" t="s">
        <v>73</v>
      </c>
      <c r="D117" s="5" t="s">
        <v>73</v>
      </c>
      <c r="E117" s="5" t="s">
        <v>74</v>
      </c>
      <c r="F117" s="6" t="s">
        <v>26</v>
      </c>
      <c r="G117" s="5" t="s">
        <v>75</v>
      </c>
      <c r="H117" s="5" t="s">
        <v>75</v>
      </c>
      <c r="I117" s="7" t="s">
        <v>28</v>
      </c>
      <c r="J117" s="8" t="s">
        <v>29</v>
      </c>
      <c r="K117" s="4">
        <v>46155</v>
      </c>
      <c r="L117" s="5" t="s">
        <v>76</v>
      </c>
      <c r="M117" s="8"/>
      <c r="N117" s="8"/>
      <c r="O117" s="5">
        <v>382415</v>
      </c>
      <c r="P117" s="9" t="s">
        <v>31</v>
      </c>
      <c r="Q117" s="9" t="s">
        <v>198</v>
      </c>
      <c r="R117" s="9" t="s">
        <v>41</v>
      </c>
      <c r="S117" s="9">
        <v>8</v>
      </c>
      <c r="T117" s="9" t="s">
        <v>34</v>
      </c>
      <c r="U117" s="5">
        <v>23100</v>
      </c>
      <c r="V117">
        <f t="shared" si="6"/>
        <v>184800</v>
      </c>
      <c r="W117" s="10">
        <v>0.18</v>
      </c>
      <c r="X117" s="11">
        <f t="shared" si="7"/>
        <v>33264</v>
      </c>
      <c r="Y117">
        <v>0</v>
      </c>
      <c r="Z117" s="11">
        <f t="shared" si="8"/>
        <v>218064</v>
      </c>
    </row>
    <row r="118" spans="1:26" ht="90">
      <c r="A118" s="4">
        <v>46155</v>
      </c>
      <c r="B118" s="5" t="s">
        <v>73</v>
      </c>
      <c r="C118" s="5" t="s">
        <v>73</v>
      </c>
      <c r="D118" s="5" t="s">
        <v>73</v>
      </c>
      <c r="E118" s="5" t="s">
        <v>74</v>
      </c>
      <c r="F118" s="6" t="s">
        <v>26</v>
      </c>
      <c r="G118" s="5" t="s">
        <v>75</v>
      </c>
      <c r="H118" s="5" t="s">
        <v>75</v>
      </c>
      <c r="I118" s="7" t="s">
        <v>28</v>
      </c>
      <c r="J118" s="8" t="s">
        <v>29</v>
      </c>
      <c r="K118" s="4">
        <v>46155</v>
      </c>
      <c r="L118" s="5" t="s">
        <v>76</v>
      </c>
      <c r="M118" s="8"/>
      <c r="N118" s="8"/>
      <c r="O118" s="5">
        <v>382415</v>
      </c>
      <c r="P118" s="9" t="s">
        <v>31</v>
      </c>
      <c r="Q118" s="9" t="s">
        <v>198</v>
      </c>
      <c r="R118" s="9" t="s">
        <v>41</v>
      </c>
      <c r="S118" s="9">
        <v>2</v>
      </c>
      <c r="T118" s="9" t="s">
        <v>34</v>
      </c>
      <c r="U118" s="5">
        <v>23100</v>
      </c>
      <c r="V118">
        <f t="shared" si="6"/>
        <v>46200</v>
      </c>
      <c r="W118" s="10">
        <v>0.18</v>
      </c>
      <c r="X118" s="11">
        <f t="shared" si="7"/>
        <v>8316</v>
      </c>
      <c r="Y118">
        <v>0</v>
      </c>
      <c r="Z118" s="11">
        <f t="shared" si="8"/>
        <v>54516</v>
      </c>
    </row>
    <row r="119" spans="1:26" ht="75">
      <c r="A119" s="4">
        <v>46157</v>
      </c>
      <c r="B119" s="5" t="s">
        <v>107</v>
      </c>
      <c r="C119" s="5" t="s">
        <v>107</v>
      </c>
      <c r="D119" s="5" t="s">
        <v>91</v>
      </c>
      <c r="E119" s="5" t="s">
        <v>92</v>
      </c>
      <c r="F119" s="6" t="s">
        <v>26</v>
      </c>
      <c r="G119" s="5" t="s">
        <v>93</v>
      </c>
      <c r="H119" s="5" t="s">
        <v>93</v>
      </c>
      <c r="I119" s="7" t="s">
        <v>28</v>
      </c>
      <c r="J119" s="8" t="s">
        <v>29</v>
      </c>
      <c r="K119" s="4">
        <v>46157</v>
      </c>
      <c r="L119" s="5" t="s">
        <v>94</v>
      </c>
      <c r="M119" s="8"/>
      <c r="N119" s="8"/>
      <c r="O119" s="5">
        <v>380009</v>
      </c>
      <c r="P119" s="9" t="s">
        <v>31</v>
      </c>
      <c r="Q119" s="9" t="s">
        <v>72</v>
      </c>
      <c r="R119" s="9" t="s">
        <v>47</v>
      </c>
      <c r="S119" s="9">
        <v>17</v>
      </c>
      <c r="T119" s="9" t="s">
        <v>34</v>
      </c>
      <c r="U119" s="5">
        <v>24000</v>
      </c>
      <c r="V119">
        <f t="shared" si="6"/>
        <v>408000</v>
      </c>
      <c r="W119" s="10">
        <v>0.18</v>
      </c>
      <c r="X119" s="11">
        <f t="shared" si="7"/>
        <v>73440</v>
      </c>
      <c r="Y119">
        <v>0</v>
      </c>
      <c r="Z119" s="11">
        <f t="shared" si="8"/>
        <v>481440</v>
      </c>
    </row>
    <row r="120" spans="1:26" ht="75">
      <c r="A120" s="4">
        <v>46157</v>
      </c>
      <c r="B120" s="5" t="s">
        <v>107</v>
      </c>
      <c r="C120" s="5" t="s">
        <v>107</v>
      </c>
      <c r="D120" s="5" t="s">
        <v>91</v>
      </c>
      <c r="E120" s="5" t="s">
        <v>92</v>
      </c>
      <c r="F120" s="6" t="s">
        <v>26</v>
      </c>
      <c r="G120" s="5" t="s">
        <v>93</v>
      </c>
      <c r="H120" s="5" t="s">
        <v>93</v>
      </c>
      <c r="I120" s="7" t="s">
        <v>28</v>
      </c>
      <c r="J120" s="8" t="s">
        <v>29</v>
      </c>
      <c r="K120" s="4">
        <v>46157</v>
      </c>
      <c r="L120" s="5" t="s">
        <v>94</v>
      </c>
      <c r="M120" s="8"/>
      <c r="N120" s="8"/>
      <c r="O120" s="5">
        <v>380009</v>
      </c>
      <c r="P120" s="9" t="s">
        <v>31</v>
      </c>
      <c r="Q120" s="9" t="s">
        <v>32</v>
      </c>
      <c r="R120" s="9" t="s">
        <v>47</v>
      </c>
      <c r="S120" s="9">
        <v>5</v>
      </c>
      <c r="T120" s="9" t="s">
        <v>34</v>
      </c>
      <c r="U120" s="5">
        <v>9300</v>
      </c>
      <c r="V120">
        <f t="shared" si="6"/>
        <v>46500</v>
      </c>
      <c r="W120" s="10">
        <v>0.18</v>
      </c>
      <c r="X120" s="11">
        <f t="shared" si="7"/>
        <v>8370</v>
      </c>
      <c r="Y120">
        <v>0</v>
      </c>
      <c r="Z120" s="11">
        <f t="shared" si="8"/>
        <v>54870</v>
      </c>
    </row>
    <row r="121" spans="1:26" ht="75">
      <c r="A121" s="4">
        <v>46158</v>
      </c>
      <c r="B121" s="5" t="s">
        <v>199</v>
      </c>
      <c r="C121" s="5" t="s">
        <v>199</v>
      </c>
      <c r="D121" s="5" t="s">
        <v>199</v>
      </c>
      <c r="E121" s="5" t="s">
        <v>200</v>
      </c>
      <c r="F121" s="6" t="s">
        <v>26</v>
      </c>
      <c r="G121" s="5" t="s">
        <v>201</v>
      </c>
      <c r="H121" s="5" t="s">
        <v>201</v>
      </c>
      <c r="I121" s="7" t="s">
        <v>28</v>
      </c>
      <c r="J121" s="8" t="s">
        <v>29</v>
      </c>
      <c r="K121" s="4">
        <v>46158</v>
      </c>
      <c r="L121" s="5" t="s">
        <v>202</v>
      </c>
      <c r="M121" s="8"/>
      <c r="N121" s="8"/>
      <c r="O121" s="5">
        <v>380051</v>
      </c>
      <c r="P121" s="9" t="s">
        <v>58</v>
      </c>
      <c r="Q121" s="9" t="s">
        <v>32</v>
      </c>
      <c r="R121" s="9" t="s">
        <v>33</v>
      </c>
      <c r="S121" s="9">
        <v>11</v>
      </c>
      <c r="T121" s="9" t="s">
        <v>34</v>
      </c>
      <c r="U121" s="5">
        <v>13850</v>
      </c>
      <c r="V121">
        <f t="shared" si="6"/>
        <v>152350</v>
      </c>
      <c r="W121" s="10">
        <v>0.18</v>
      </c>
      <c r="X121" s="11">
        <f t="shared" si="7"/>
        <v>27423</v>
      </c>
      <c r="Y121">
        <v>0</v>
      </c>
      <c r="Z121" s="11">
        <f t="shared" si="8"/>
        <v>179773</v>
      </c>
    </row>
    <row r="122" spans="1:26" ht="75">
      <c r="A122" s="4">
        <v>46158</v>
      </c>
      <c r="B122" s="5" t="s">
        <v>199</v>
      </c>
      <c r="C122" s="5" t="s">
        <v>199</v>
      </c>
      <c r="D122" s="5" t="s">
        <v>199</v>
      </c>
      <c r="E122" s="5" t="s">
        <v>200</v>
      </c>
      <c r="F122" s="6" t="s">
        <v>26</v>
      </c>
      <c r="G122" s="5" t="s">
        <v>201</v>
      </c>
      <c r="H122" s="5" t="s">
        <v>201</v>
      </c>
      <c r="I122" s="7" t="s">
        <v>28</v>
      </c>
      <c r="J122" s="8" t="s">
        <v>29</v>
      </c>
      <c r="K122" s="4">
        <v>46158</v>
      </c>
      <c r="L122" s="5" t="s">
        <v>202</v>
      </c>
      <c r="M122" s="8"/>
      <c r="N122" s="8"/>
      <c r="O122" s="5">
        <v>380051</v>
      </c>
      <c r="P122" s="9" t="s">
        <v>58</v>
      </c>
      <c r="Q122" s="9" t="s">
        <v>121</v>
      </c>
      <c r="R122" s="9" t="s">
        <v>33</v>
      </c>
      <c r="S122" s="9">
        <v>1</v>
      </c>
      <c r="T122" s="9" t="s">
        <v>34</v>
      </c>
      <c r="U122" s="5">
        <v>22200</v>
      </c>
      <c r="V122">
        <f t="shared" si="6"/>
        <v>22200</v>
      </c>
      <c r="W122" s="10">
        <v>0.18</v>
      </c>
      <c r="X122" s="11">
        <f t="shared" si="7"/>
        <v>3996</v>
      </c>
      <c r="Y122">
        <v>0</v>
      </c>
      <c r="Z122" s="11">
        <f t="shared" si="8"/>
        <v>26196</v>
      </c>
    </row>
    <row r="123" spans="1:26" ht="75">
      <c r="A123" s="4">
        <v>46158</v>
      </c>
      <c r="B123" s="5" t="s">
        <v>199</v>
      </c>
      <c r="C123" s="5" t="s">
        <v>199</v>
      </c>
      <c r="D123" s="5" t="s">
        <v>199</v>
      </c>
      <c r="E123" s="5" t="s">
        <v>200</v>
      </c>
      <c r="F123" s="6" t="s">
        <v>26</v>
      </c>
      <c r="G123" s="5" t="s">
        <v>201</v>
      </c>
      <c r="H123" s="5" t="s">
        <v>201</v>
      </c>
      <c r="I123" s="7" t="s">
        <v>28</v>
      </c>
      <c r="J123" s="8" t="s">
        <v>29</v>
      </c>
      <c r="K123" s="4">
        <v>46158</v>
      </c>
      <c r="L123" s="5" t="s">
        <v>202</v>
      </c>
      <c r="M123" s="8"/>
      <c r="N123" s="8"/>
      <c r="O123" s="5">
        <v>380051</v>
      </c>
      <c r="P123" s="9" t="s">
        <v>58</v>
      </c>
      <c r="Q123" s="9" t="s">
        <v>48</v>
      </c>
      <c r="R123" s="9" t="s">
        <v>33</v>
      </c>
      <c r="S123" s="9">
        <v>2</v>
      </c>
      <c r="T123" s="9" t="s">
        <v>34</v>
      </c>
      <c r="U123" s="5">
        <v>10500</v>
      </c>
      <c r="V123">
        <f t="shared" si="6"/>
        <v>21000</v>
      </c>
      <c r="W123" s="10">
        <v>0.18</v>
      </c>
      <c r="X123" s="11">
        <f t="shared" si="7"/>
        <v>3780</v>
      </c>
      <c r="Y123">
        <v>0</v>
      </c>
      <c r="Z123" s="11">
        <f t="shared" si="8"/>
        <v>24780</v>
      </c>
    </row>
    <row r="124" spans="1:26" ht="75">
      <c r="A124" s="4">
        <v>46158</v>
      </c>
      <c r="B124" s="5" t="s">
        <v>199</v>
      </c>
      <c r="C124" s="5" t="s">
        <v>199</v>
      </c>
      <c r="D124" s="5" t="s">
        <v>199</v>
      </c>
      <c r="E124" s="5" t="s">
        <v>200</v>
      </c>
      <c r="F124" s="6" t="s">
        <v>26</v>
      </c>
      <c r="G124" s="5" t="s">
        <v>201</v>
      </c>
      <c r="H124" s="5" t="s">
        <v>201</v>
      </c>
      <c r="I124" s="7" t="s">
        <v>28</v>
      </c>
      <c r="J124" s="8" t="s">
        <v>29</v>
      </c>
      <c r="K124" s="4">
        <v>46158</v>
      </c>
      <c r="L124" s="5" t="s">
        <v>202</v>
      </c>
      <c r="M124" s="8"/>
      <c r="N124" s="8"/>
      <c r="O124" s="5">
        <v>380051</v>
      </c>
      <c r="P124" s="9" t="s">
        <v>58</v>
      </c>
      <c r="Q124" s="9" t="s">
        <v>52</v>
      </c>
      <c r="R124" s="9" t="s">
        <v>33</v>
      </c>
      <c r="S124" s="9">
        <v>3</v>
      </c>
      <c r="T124" s="9" t="s">
        <v>34</v>
      </c>
      <c r="U124" s="5">
        <v>6250</v>
      </c>
      <c r="V124">
        <f t="shared" si="6"/>
        <v>18750</v>
      </c>
      <c r="W124" s="10">
        <v>0.18</v>
      </c>
      <c r="X124" s="11">
        <f t="shared" si="7"/>
        <v>3375</v>
      </c>
      <c r="Y124">
        <v>0</v>
      </c>
      <c r="Z124" s="11">
        <f t="shared" si="8"/>
        <v>22125</v>
      </c>
    </row>
    <row r="125" spans="1:26" ht="75">
      <c r="A125" s="4">
        <v>46160</v>
      </c>
      <c r="B125" s="9" t="s">
        <v>203</v>
      </c>
      <c r="C125" s="9" t="s">
        <v>203</v>
      </c>
      <c r="D125" s="9" t="s">
        <v>203</v>
      </c>
      <c r="E125" s="5" t="s">
        <v>204</v>
      </c>
      <c r="F125" s="6" t="s">
        <v>26</v>
      </c>
      <c r="G125" s="5" t="s">
        <v>205</v>
      </c>
      <c r="H125" s="5" t="s">
        <v>205</v>
      </c>
      <c r="I125" s="7" t="s">
        <v>28</v>
      </c>
      <c r="J125" s="8" t="s">
        <v>29</v>
      </c>
      <c r="K125" s="4">
        <v>46160</v>
      </c>
      <c r="L125" s="5" t="s">
        <v>206</v>
      </c>
      <c r="M125" s="8"/>
      <c r="N125" s="8"/>
      <c r="O125" s="5">
        <v>382421</v>
      </c>
      <c r="P125" s="9" t="s">
        <v>31</v>
      </c>
      <c r="Q125" s="9" t="s">
        <v>32</v>
      </c>
      <c r="R125" s="9" t="s">
        <v>41</v>
      </c>
      <c r="S125" s="9">
        <v>2</v>
      </c>
      <c r="T125" s="9" t="s">
        <v>34</v>
      </c>
      <c r="U125" s="5">
        <v>4170</v>
      </c>
      <c r="V125">
        <f t="shared" si="6"/>
        <v>8340</v>
      </c>
      <c r="W125" s="10">
        <v>0.18</v>
      </c>
      <c r="X125" s="11">
        <f t="shared" si="7"/>
        <v>1501.2</v>
      </c>
      <c r="Y125">
        <v>0</v>
      </c>
      <c r="Z125" s="11">
        <f t="shared" si="8"/>
        <v>9841.2000000000007</v>
      </c>
    </row>
    <row r="126" spans="1:26" ht="75">
      <c r="A126" s="4">
        <v>46160</v>
      </c>
      <c r="B126" s="9" t="s">
        <v>203</v>
      </c>
      <c r="C126" s="9" t="s">
        <v>203</v>
      </c>
      <c r="D126" s="9" t="s">
        <v>203</v>
      </c>
      <c r="E126" s="5" t="s">
        <v>204</v>
      </c>
      <c r="F126" s="6" t="s">
        <v>26</v>
      </c>
      <c r="G126" s="5" t="s">
        <v>205</v>
      </c>
      <c r="H126" s="5" t="s">
        <v>205</v>
      </c>
      <c r="I126" s="7" t="s">
        <v>28</v>
      </c>
      <c r="J126" s="8" t="s">
        <v>29</v>
      </c>
      <c r="K126" s="4">
        <v>46160</v>
      </c>
      <c r="L126" s="5" t="s">
        <v>206</v>
      </c>
      <c r="M126" s="8"/>
      <c r="N126" s="8"/>
      <c r="O126" s="5">
        <v>382421</v>
      </c>
      <c r="P126" s="9" t="s">
        <v>31</v>
      </c>
      <c r="Q126" s="9" t="s">
        <v>32</v>
      </c>
      <c r="R126" s="9" t="s">
        <v>50</v>
      </c>
      <c r="S126" s="9">
        <v>1</v>
      </c>
      <c r="T126" s="9" t="s">
        <v>34</v>
      </c>
      <c r="U126" s="5">
        <v>7500</v>
      </c>
      <c r="V126">
        <f t="shared" si="6"/>
        <v>7500</v>
      </c>
      <c r="W126" s="10">
        <v>0.18</v>
      </c>
      <c r="X126" s="11">
        <f t="shared" si="7"/>
        <v>1350</v>
      </c>
      <c r="Y126">
        <v>0</v>
      </c>
      <c r="Z126" s="11">
        <f t="shared" si="8"/>
        <v>8850</v>
      </c>
    </row>
    <row r="127" spans="1:26" ht="75">
      <c r="A127" s="4">
        <v>46160</v>
      </c>
      <c r="B127" s="9" t="s">
        <v>203</v>
      </c>
      <c r="C127" s="9" t="s">
        <v>203</v>
      </c>
      <c r="D127" s="9" t="s">
        <v>203</v>
      </c>
      <c r="E127" s="5" t="s">
        <v>204</v>
      </c>
      <c r="F127" s="6" t="s">
        <v>26</v>
      </c>
      <c r="G127" s="5" t="s">
        <v>205</v>
      </c>
      <c r="H127" s="5" t="s">
        <v>205</v>
      </c>
      <c r="I127" s="7" t="s">
        <v>28</v>
      </c>
      <c r="J127" s="8" t="s">
        <v>29</v>
      </c>
      <c r="K127" s="4">
        <v>46160</v>
      </c>
      <c r="L127" s="5" t="s">
        <v>206</v>
      </c>
      <c r="M127" s="8"/>
      <c r="N127" s="8"/>
      <c r="O127" s="5">
        <v>382421</v>
      </c>
      <c r="P127" s="9" t="s">
        <v>31</v>
      </c>
      <c r="Q127" s="9" t="s">
        <v>72</v>
      </c>
      <c r="R127" s="9" t="s">
        <v>41</v>
      </c>
      <c r="S127" s="9">
        <v>1</v>
      </c>
      <c r="T127" s="9" t="s">
        <v>34</v>
      </c>
      <c r="U127" s="5">
        <v>10140</v>
      </c>
      <c r="V127">
        <f t="shared" si="6"/>
        <v>10140</v>
      </c>
      <c r="W127" s="10">
        <v>0.18</v>
      </c>
      <c r="X127" s="11">
        <f t="shared" si="7"/>
        <v>1825.2</v>
      </c>
      <c r="Y127">
        <v>0</v>
      </c>
      <c r="Z127" s="11">
        <f t="shared" si="8"/>
        <v>11965.2</v>
      </c>
    </row>
    <row r="128" spans="1:26" ht="90">
      <c r="A128" s="4">
        <v>46160</v>
      </c>
      <c r="B128" s="5" t="s">
        <v>207</v>
      </c>
      <c r="C128" s="5" t="s">
        <v>207</v>
      </c>
      <c r="D128" s="5" t="s">
        <v>207</v>
      </c>
      <c r="E128" s="5" t="s">
        <v>208</v>
      </c>
      <c r="F128" s="6" t="s">
        <v>26</v>
      </c>
      <c r="G128" s="5" t="s">
        <v>209</v>
      </c>
      <c r="H128" s="5" t="s">
        <v>209</v>
      </c>
      <c r="I128" s="7" t="s">
        <v>28</v>
      </c>
      <c r="J128" s="8" t="s">
        <v>29</v>
      </c>
      <c r="K128" s="4">
        <v>46160</v>
      </c>
      <c r="L128" s="5" t="s">
        <v>210</v>
      </c>
      <c r="M128" s="8"/>
      <c r="N128" s="8"/>
      <c r="O128" s="5">
        <v>361140</v>
      </c>
      <c r="P128" s="9" t="s">
        <v>143</v>
      </c>
      <c r="Q128" s="9" t="s">
        <v>211</v>
      </c>
      <c r="R128" s="9" t="s">
        <v>33</v>
      </c>
      <c r="S128" s="9">
        <v>215</v>
      </c>
      <c r="T128" s="9" t="s">
        <v>34</v>
      </c>
      <c r="U128" s="5">
        <v>1595</v>
      </c>
      <c r="V128">
        <f t="shared" si="6"/>
        <v>342925</v>
      </c>
      <c r="W128" s="10">
        <v>0.18</v>
      </c>
      <c r="X128" s="11">
        <f t="shared" si="7"/>
        <v>61726.5</v>
      </c>
      <c r="Y128">
        <v>0</v>
      </c>
      <c r="Z128" s="11">
        <f t="shared" si="8"/>
        <v>404651.5</v>
      </c>
    </row>
    <row r="129" spans="1:26" ht="90">
      <c r="A129" s="4">
        <v>46160</v>
      </c>
      <c r="B129" s="5" t="s">
        <v>176</v>
      </c>
      <c r="C129" s="5" t="s">
        <v>176</v>
      </c>
      <c r="D129" s="5" t="s">
        <v>176</v>
      </c>
      <c r="E129" s="5" t="s">
        <v>177</v>
      </c>
      <c r="F129" s="6" t="s">
        <v>26</v>
      </c>
      <c r="G129" s="5" t="s">
        <v>178</v>
      </c>
      <c r="H129" s="5" t="s">
        <v>178</v>
      </c>
      <c r="I129" s="7" t="s">
        <v>28</v>
      </c>
      <c r="J129" s="8" t="s">
        <v>29</v>
      </c>
      <c r="K129" s="4">
        <v>46160</v>
      </c>
      <c r="L129" s="5" t="s">
        <v>179</v>
      </c>
      <c r="M129" s="8"/>
      <c r="N129" s="8"/>
      <c r="O129" s="5">
        <v>380058</v>
      </c>
      <c r="P129" s="9" t="s">
        <v>58</v>
      </c>
      <c r="Q129" s="9" t="s">
        <v>48</v>
      </c>
      <c r="R129" s="9" t="s">
        <v>90</v>
      </c>
      <c r="S129" s="9">
        <v>4</v>
      </c>
      <c r="T129" s="9" t="s">
        <v>34</v>
      </c>
      <c r="U129" s="5">
        <v>4371</v>
      </c>
      <c r="V129">
        <f t="shared" si="6"/>
        <v>17484</v>
      </c>
      <c r="W129" s="10">
        <v>0.18</v>
      </c>
      <c r="X129" s="11">
        <f t="shared" si="7"/>
        <v>3147.12</v>
      </c>
      <c r="Y129">
        <v>0</v>
      </c>
      <c r="Z129" s="11">
        <f t="shared" si="8"/>
        <v>20631.12</v>
      </c>
    </row>
    <row r="130" spans="1:26" ht="60">
      <c r="A130" s="4">
        <v>46161</v>
      </c>
      <c r="B130" s="5" t="s">
        <v>212</v>
      </c>
      <c r="C130" s="5" t="s">
        <v>212</v>
      </c>
      <c r="D130" s="5" t="s">
        <v>212</v>
      </c>
      <c r="E130" s="5" t="s">
        <v>213</v>
      </c>
      <c r="F130" s="6" t="s">
        <v>26</v>
      </c>
      <c r="G130" s="5" t="s">
        <v>214</v>
      </c>
      <c r="H130" s="5" t="s">
        <v>214</v>
      </c>
      <c r="I130" s="7" t="s">
        <v>28</v>
      </c>
      <c r="J130" s="8" t="s">
        <v>29</v>
      </c>
      <c r="K130" s="4">
        <v>46161</v>
      </c>
      <c r="L130" s="5" t="s">
        <v>215</v>
      </c>
      <c r="M130" s="8"/>
      <c r="N130" s="8"/>
      <c r="O130" s="5">
        <v>390020</v>
      </c>
      <c r="P130" s="9" t="s">
        <v>31</v>
      </c>
      <c r="Q130" s="9" t="s">
        <v>72</v>
      </c>
      <c r="R130" s="9" t="s">
        <v>47</v>
      </c>
      <c r="S130" s="9">
        <v>1</v>
      </c>
      <c r="T130" s="9" t="s">
        <v>34</v>
      </c>
      <c r="U130" s="5">
        <v>25080</v>
      </c>
      <c r="V130">
        <f t="shared" si="6"/>
        <v>25080</v>
      </c>
      <c r="W130" s="10">
        <v>0.18</v>
      </c>
      <c r="X130" s="11">
        <f t="shared" si="7"/>
        <v>4514.3999999999996</v>
      </c>
      <c r="Y130">
        <v>0</v>
      </c>
      <c r="Z130" s="11">
        <f t="shared" si="8"/>
        <v>29594.400000000001</v>
      </c>
    </row>
    <row r="131" spans="1:26" ht="30">
      <c r="A131" s="4">
        <v>46162</v>
      </c>
      <c r="B131" s="9" t="s">
        <v>42</v>
      </c>
      <c r="C131" s="9" t="s">
        <v>42</v>
      </c>
      <c r="D131" s="9" t="s">
        <v>42</v>
      </c>
      <c r="E131" s="5" t="s">
        <v>43</v>
      </c>
      <c r="F131" s="6" t="s">
        <v>26</v>
      </c>
      <c r="G131" s="5" t="s">
        <v>44</v>
      </c>
      <c r="H131" s="5" t="s">
        <v>44</v>
      </c>
      <c r="I131" s="7" t="s">
        <v>28</v>
      </c>
      <c r="J131" s="8" t="s">
        <v>29</v>
      </c>
      <c r="K131" s="4">
        <v>46162</v>
      </c>
      <c r="L131" s="5" t="s">
        <v>45</v>
      </c>
      <c r="M131" s="8"/>
      <c r="N131" s="8"/>
      <c r="O131" s="5">
        <v>600001</v>
      </c>
      <c r="P131" s="9" t="s">
        <v>57</v>
      </c>
      <c r="Q131" s="9" t="s">
        <v>48</v>
      </c>
      <c r="R131" s="9" t="s">
        <v>50</v>
      </c>
      <c r="S131" s="9">
        <v>10</v>
      </c>
      <c r="T131" s="9" t="s">
        <v>34</v>
      </c>
      <c r="U131" s="5">
        <v>9300</v>
      </c>
      <c r="V131">
        <f t="shared" si="6"/>
        <v>93000</v>
      </c>
      <c r="W131" s="10">
        <v>0.18</v>
      </c>
      <c r="X131" s="11">
        <f t="shared" si="7"/>
        <v>16740</v>
      </c>
      <c r="Y131">
        <v>0</v>
      </c>
      <c r="Z131" s="11">
        <f t="shared" si="8"/>
        <v>109740</v>
      </c>
    </row>
    <row r="132" spans="1:26" ht="30">
      <c r="A132" s="4">
        <v>46163</v>
      </c>
      <c r="B132" s="9" t="s">
        <v>42</v>
      </c>
      <c r="C132" s="9" t="s">
        <v>42</v>
      </c>
      <c r="D132" s="9" t="s">
        <v>42</v>
      </c>
      <c r="E132" s="5" t="s">
        <v>43</v>
      </c>
      <c r="F132" s="6" t="s">
        <v>26</v>
      </c>
      <c r="G132" s="5" t="s">
        <v>44</v>
      </c>
      <c r="H132" s="5" t="s">
        <v>44</v>
      </c>
      <c r="I132" s="7" t="s">
        <v>28</v>
      </c>
      <c r="J132" s="8" t="s">
        <v>29</v>
      </c>
      <c r="K132" s="4">
        <v>46163</v>
      </c>
      <c r="L132" s="5" t="s">
        <v>45</v>
      </c>
      <c r="M132" s="8"/>
      <c r="N132" s="8"/>
      <c r="O132" s="5">
        <v>600001</v>
      </c>
      <c r="P132" s="9" t="s">
        <v>143</v>
      </c>
      <c r="Q132" s="9" t="s">
        <v>216</v>
      </c>
      <c r="R132" s="9" t="s">
        <v>47</v>
      </c>
      <c r="S132" s="9">
        <v>55</v>
      </c>
      <c r="T132" s="9" t="s">
        <v>217</v>
      </c>
      <c r="U132" s="5">
        <v>7900</v>
      </c>
      <c r="V132">
        <f t="shared" si="6"/>
        <v>434500</v>
      </c>
      <c r="W132" s="10">
        <v>0.18</v>
      </c>
      <c r="X132" s="11">
        <f t="shared" si="7"/>
        <v>78210</v>
      </c>
      <c r="Y132">
        <v>0</v>
      </c>
      <c r="Z132" s="11">
        <f t="shared" si="8"/>
        <v>512710</v>
      </c>
    </row>
    <row r="133" spans="1:26" ht="75">
      <c r="A133" s="4">
        <v>46164</v>
      </c>
      <c r="B133" s="5" t="s">
        <v>218</v>
      </c>
      <c r="C133" s="5" t="s">
        <v>218</v>
      </c>
      <c r="D133" s="5" t="s">
        <v>218</v>
      </c>
      <c r="E133" s="5" t="s">
        <v>219</v>
      </c>
      <c r="F133" s="6" t="s">
        <v>26</v>
      </c>
      <c r="G133" s="5" t="s">
        <v>220</v>
      </c>
      <c r="H133" s="5" t="s">
        <v>220</v>
      </c>
      <c r="I133" s="7" t="s">
        <v>28</v>
      </c>
      <c r="J133" s="8" t="s">
        <v>29</v>
      </c>
      <c r="K133" s="4">
        <v>46164</v>
      </c>
      <c r="L133" s="5" t="s">
        <v>221</v>
      </c>
      <c r="M133" s="8"/>
      <c r="N133" s="8"/>
      <c r="O133" s="5">
        <v>380051</v>
      </c>
      <c r="P133" s="9" t="s">
        <v>31</v>
      </c>
      <c r="Q133" s="9" t="s">
        <v>162</v>
      </c>
      <c r="R133" s="9" t="s">
        <v>41</v>
      </c>
      <c r="S133" s="9">
        <v>15</v>
      </c>
      <c r="T133" s="9" t="s">
        <v>34</v>
      </c>
      <c r="U133" s="5">
        <v>1740</v>
      </c>
      <c r="V133">
        <f t="shared" si="6"/>
        <v>26100</v>
      </c>
      <c r="W133" s="10">
        <v>0.18</v>
      </c>
      <c r="X133" s="11">
        <f t="shared" si="7"/>
        <v>4698</v>
      </c>
      <c r="Y133">
        <v>0</v>
      </c>
      <c r="Z133" s="11">
        <f t="shared" si="8"/>
        <v>30798</v>
      </c>
    </row>
    <row r="134" spans="1:26" ht="90">
      <c r="A134" s="4">
        <v>46164</v>
      </c>
      <c r="B134" s="9" t="s">
        <v>222</v>
      </c>
      <c r="C134" s="9" t="s">
        <v>222</v>
      </c>
      <c r="D134" s="9" t="s">
        <v>222</v>
      </c>
      <c r="E134" s="5" t="s">
        <v>223</v>
      </c>
      <c r="F134" s="6" t="s">
        <v>26</v>
      </c>
      <c r="G134" s="5" t="s">
        <v>171</v>
      </c>
      <c r="H134" s="5" t="s">
        <v>171</v>
      </c>
      <c r="I134" s="7" t="s">
        <v>28</v>
      </c>
      <c r="J134" s="8" t="s">
        <v>29</v>
      </c>
      <c r="K134" s="4">
        <v>46164</v>
      </c>
      <c r="L134" s="5" t="s">
        <v>224</v>
      </c>
      <c r="M134" s="8"/>
      <c r="N134" s="8"/>
      <c r="O134" s="5">
        <v>361004</v>
      </c>
      <c r="P134" s="9" t="s">
        <v>143</v>
      </c>
      <c r="Q134" s="9" t="s">
        <v>138</v>
      </c>
      <c r="R134" s="9" t="s">
        <v>47</v>
      </c>
      <c r="S134" s="9">
        <v>7</v>
      </c>
      <c r="T134" s="9" t="s">
        <v>34</v>
      </c>
      <c r="U134" s="5">
        <v>4933</v>
      </c>
      <c r="V134">
        <f t="shared" si="6"/>
        <v>34531</v>
      </c>
      <c r="W134" s="10">
        <v>0.18</v>
      </c>
      <c r="X134" s="11">
        <f t="shared" si="7"/>
        <v>6215.58</v>
      </c>
      <c r="Y134">
        <v>0</v>
      </c>
      <c r="Z134" s="11">
        <f t="shared" si="8"/>
        <v>40746.58</v>
      </c>
    </row>
    <row r="135" spans="1:26" ht="90">
      <c r="A135" s="4">
        <v>46164</v>
      </c>
      <c r="B135" s="9" t="s">
        <v>225</v>
      </c>
      <c r="C135" s="9" t="s">
        <v>225</v>
      </c>
      <c r="D135" s="9" t="s">
        <v>225</v>
      </c>
      <c r="E135" s="5" t="s">
        <v>226</v>
      </c>
      <c r="F135" s="6" t="s">
        <v>26</v>
      </c>
      <c r="G135" s="5" t="s">
        <v>227</v>
      </c>
      <c r="H135" s="5" t="s">
        <v>227</v>
      </c>
      <c r="I135" s="7" t="s">
        <v>28</v>
      </c>
      <c r="J135" s="8" t="s">
        <v>29</v>
      </c>
      <c r="K135" s="4">
        <v>46164</v>
      </c>
      <c r="L135" s="5" t="s">
        <v>228</v>
      </c>
      <c r="M135" s="8"/>
      <c r="N135" s="8"/>
      <c r="O135" s="5">
        <v>380015</v>
      </c>
      <c r="P135" s="9" t="s">
        <v>31</v>
      </c>
      <c r="Q135" s="9" t="s">
        <v>229</v>
      </c>
      <c r="R135" s="9" t="s">
        <v>33</v>
      </c>
      <c r="S135" s="9">
        <v>3</v>
      </c>
      <c r="T135" s="9" t="s">
        <v>34</v>
      </c>
      <c r="U135" s="5">
        <v>44600</v>
      </c>
      <c r="V135">
        <f t="shared" si="6"/>
        <v>133800</v>
      </c>
      <c r="W135" s="10">
        <v>0.18</v>
      </c>
      <c r="X135" s="11">
        <f t="shared" si="7"/>
        <v>24084</v>
      </c>
      <c r="Y135">
        <v>0</v>
      </c>
      <c r="Z135" s="11">
        <f t="shared" si="8"/>
        <v>157884</v>
      </c>
    </row>
    <row r="136" spans="1:26" ht="90">
      <c r="A136" s="4">
        <v>46164</v>
      </c>
      <c r="B136" s="9" t="s">
        <v>225</v>
      </c>
      <c r="C136" s="9" t="s">
        <v>225</v>
      </c>
      <c r="D136" s="9" t="s">
        <v>225</v>
      </c>
      <c r="E136" s="5" t="s">
        <v>226</v>
      </c>
      <c r="F136" s="6" t="s">
        <v>26</v>
      </c>
      <c r="G136" s="5" t="s">
        <v>227</v>
      </c>
      <c r="H136" s="5" t="s">
        <v>227</v>
      </c>
      <c r="I136" s="7" t="s">
        <v>28</v>
      </c>
      <c r="J136" s="8" t="s">
        <v>29</v>
      </c>
      <c r="K136" s="4">
        <v>46164</v>
      </c>
      <c r="L136" s="5" t="s">
        <v>228</v>
      </c>
      <c r="M136" s="8"/>
      <c r="N136" s="8"/>
      <c r="O136" s="5">
        <v>380015</v>
      </c>
      <c r="P136" s="9" t="s">
        <v>31</v>
      </c>
      <c r="Q136" s="9" t="s">
        <v>72</v>
      </c>
      <c r="R136" s="9" t="s">
        <v>33</v>
      </c>
      <c r="S136" s="9">
        <v>2</v>
      </c>
      <c r="T136" s="9" t="s">
        <v>34</v>
      </c>
      <c r="U136" s="5">
        <v>25500</v>
      </c>
      <c r="V136">
        <f t="shared" si="6"/>
        <v>51000</v>
      </c>
      <c r="W136" s="10">
        <v>0.18</v>
      </c>
      <c r="X136" s="11">
        <f t="shared" si="7"/>
        <v>9180</v>
      </c>
      <c r="Y136">
        <v>0</v>
      </c>
      <c r="Z136" s="11">
        <f t="shared" si="8"/>
        <v>60180</v>
      </c>
    </row>
    <row r="137" spans="1:26" ht="90">
      <c r="A137" s="4">
        <v>46164</v>
      </c>
      <c r="B137" s="9" t="s">
        <v>225</v>
      </c>
      <c r="C137" s="9" t="s">
        <v>225</v>
      </c>
      <c r="D137" s="9" t="s">
        <v>225</v>
      </c>
      <c r="E137" s="5" t="s">
        <v>226</v>
      </c>
      <c r="F137" s="6" t="s">
        <v>26</v>
      </c>
      <c r="G137" s="5" t="s">
        <v>227</v>
      </c>
      <c r="H137" s="5" t="s">
        <v>227</v>
      </c>
      <c r="I137" s="7" t="s">
        <v>28</v>
      </c>
      <c r="J137" s="8" t="s">
        <v>29</v>
      </c>
      <c r="K137" s="4">
        <v>46164</v>
      </c>
      <c r="L137" s="5" t="s">
        <v>228</v>
      </c>
      <c r="M137" s="8"/>
      <c r="N137" s="8"/>
      <c r="O137" s="5">
        <v>380015</v>
      </c>
      <c r="P137" s="9" t="s">
        <v>31</v>
      </c>
      <c r="Q137" s="9" t="s">
        <v>230</v>
      </c>
      <c r="R137" s="9" t="s">
        <v>33</v>
      </c>
      <c r="S137" s="9">
        <v>1</v>
      </c>
      <c r="T137" s="9" t="s">
        <v>34</v>
      </c>
      <c r="U137" s="5">
        <v>12950</v>
      </c>
      <c r="V137">
        <f t="shared" si="6"/>
        <v>12950</v>
      </c>
      <c r="W137" s="10">
        <v>0.18</v>
      </c>
      <c r="X137" s="11">
        <f t="shared" si="7"/>
        <v>2331</v>
      </c>
      <c r="Y137">
        <v>0</v>
      </c>
      <c r="Z137" s="11">
        <f t="shared" si="8"/>
        <v>15281</v>
      </c>
    </row>
    <row r="138" spans="1:26" ht="90">
      <c r="A138" s="4">
        <v>46164</v>
      </c>
      <c r="B138" s="9" t="s">
        <v>225</v>
      </c>
      <c r="C138" s="9" t="s">
        <v>225</v>
      </c>
      <c r="D138" s="9" t="s">
        <v>225</v>
      </c>
      <c r="E138" s="5" t="s">
        <v>226</v>
      </c>
      <c r="F138" s="6" t="s">
        <v>26</v>
      </c>
      <c r="G138" s="5" t="s">
        <v>227</v>
      </c>
      <c r="H138" s="5" t="s">
        <v>227</v>
      </c>
      <c r="I138" s="7" t="s">
        <v>28</v>
      </c>
      <c r="J138" s="8" t="s">
        <v>29</v>
      </c>
      <c r="K138" s="4">
        <v>46164</v>
      </c>
      <c r="L138" s="5" t="s">
        <v>228</v>
      </c>
      <c r="M138" s="8"/>
      <c r="N138" s="8"/>
      <c r="O138" s="5">
        <v>380015</v>
      </c>
      <c r="P138" s="9" t="s">
        <v>31</v>
      </c>
      <c r="Q138" s="9" t="s">
        <v>32</v>
      </c>
      <c r="R138" s="9" t="s">
        <v>33</v>
      </c>
      <c r="S138" s="9">
        <v>3</v>
      </c>
      <c r="T138" s="9" t="s">
        <v>34</v>
      </c>
      <c r="U138" s="5">
        <v>10300</v>
      </c>
      <c r="V138">
        <f t="shared" si="6"/>
        <v>30900</v>
      </c>
      <c r="W138" s="10">
        <v>0.18</v>
      </c>
      <c r="X138" s="11">
        <f t="shared" si="7"/>
        <v>5562</v>
      </c>
      <c r="Y138">
        <v>0</v>
      </c>
      <c r="Z138" s="11">
        <f t="shared" si="8"/>
        <v>36462</v>
      </c>
    </row>
    <row r="139" spans="1:26" ht="90">
      <c r="A139" s="4">
        <v>46164</v>
      </c>
      <c r="B139" s="9" t="s">
        <v>225</v>
      </c>
      <c r="C139" s="9" t="s">
        <v>225</v>
      </c>
      <c r="D139" s="9" t="s">
        <v>225</v>
      </c>
      <c r="E139" s="5" t="s">
        <v>226</v>
      </c>
      <c r="F139" s="6" t="s">
        <v>26</v>
      </c>
      <c r="G139" s="5" t="s">
        <v>227</v>
      </c>
      <c r="H139" s="5" t="s">
        <v>227</v>
      </c>
      <c r="I139" s="7" t="s">
        <v>28</v>
      </c>
      <c r="J139" s="8" t="s">
        <v>29</v>
      </c>
      <c r="K139" s="4">
        <v>46164</v>
      </c>
      <c r="L139" s="5" t="s">
        <v>228</v>
      </c>
      <c r="M139" s="8"/>
      <c r="N139" s="8"/>
      <c r="O139" s="5">
        <v>380015</v>
      </c>
      <c r="P139" s="9" t="s">
        <v>31</v>
      </c>
      <c r="Q139" s="9" t="s">
        <v>52</v>
      </c>
      <c r="R139" s="9" t="s">
        <v>33</v>
      </c>
      <c r="S139" s="9">
        <v>6</v>
      </c>
      <c r="T139" s="9" t="s">
        <v>34</v>
      </c>
      <c r="U139" s="5">
        <v>4350</v>
      </c>
      <c r="V139">
        <f t="shared" si="6"/>
        <v>26100</v>
      </c>
      <c r="W139" s="10">
        <v>0.18</v>
      </c>
      <c r="X139" s="11">
        <f t="shared" si="7"/>
        <v>4698</v>
      </c>
      <c r="Y139">
        <v>0</v>
      </c>
      <c r="Z139" s="11">
        <f t="shared" si="8"/>
        <v>30798</v>
      </c>
    </row>
    <row r="140" spans="1:26" ht="45">
      <c r="A140" s="4">
        <v>46165</v>
      </c>
      <c r="B140" s="5" t="s">
        <v>144</v>
      </c>
      <c r="C140" s="5" t="s">
        <v>144</v>
      </c>
      <c r="D140" s="5" t="s">
        <v>144</v>
      </c>
      <c r="E140" s="5" t="s">
        <v>145</v>
      </c>
      <c r="F140" s="6" t="s">
        <v>26</v>
      </c>
      <c r="G140" s="5" t="s">
        <v>146</v>
      </c>
      <c r="H140" s="5" t="s">
        <v>146</v>
      </c>
      <c r="I140" s="7" t="s">
        <v>28</v>
      </c>
      <c r="J140" s="8" t="s">
        <v>29</v>
      </c>
      <c r="K140" s="4">
        <v>46165</v>
      </c>
      <c r="L140" s="5" t="s">
        <v>147</v>
      </c>
      <c r="M140" s="8"/>
      <c r="N140" s="8"/>
      <c r="O140" s="5">
        <v>560002</v>
      </c>
      <c r="P140" s="9" t="s">
        <v>57</v>
      </c>
      <c r="Q140" s="9" t="s">
        <v>32</v>
      </c>
      <c r="R140" s="9" t="s">
        <v>41</v>
      </c>
      <c r="S140" s="9">
        <v>24</v>
      </c>
      <c r="T140" s="9" t="s">
        <v>34</v>
      </c>
      <c r="U140" s="5">
        <v>3600</v>
      </c>
      <c r="V140">
        <f t="shared" si="6"/>
        <v>86400</v>
      </c>
      <c r="W140" s="10">
        <v>0.18</v>
      </c>
      <c r="X140" s="11">
        <f t="shared" si="7"/>
        <v>15552</v>
      </c>
      <c r="Y140">
        <v>0</v>
      </c>
      <c r="Z140" s="11">
        <f t="shared" si="8"/>
        <v>101952</v>
      </c>
    </row>
    <row r="141" spans="1:26" ht="60">
      <c r="A141" s="4">
        <v>46167</v>
      </c>
      <c r="B141" s="5" t="s">
        <v>24</v>
      </c>
      <c r="C141" s="5" t="s">
        <v>24</v>
      </c>
      <c r="D141" s="5" t="s">
        <v>24</v>
      </c>
      <c r="E141" s="5" t="s">
        <v>25</v>
      </c>
      <c r="F141" s="6" t="s">
        <v>26</v>
      </c>
      <c r="G141" s="5" t="s">
        <v>27</v>
      </c>
      <c r="H141" s="5" t="s">
        <v>27</v>
      </c>
      <c r="I141" s="7" t="s">
        <v>28</v>
      </c>
      <c r="J141" s="8" t="s">
        <v>29</v>
      </c>
      <c r="K141" s="4">
        <v>46167</v>
      </c>
      <c r="L141" s="5" t="s">
        <v>30</v>
      </c>
      <c r="M141" s="8"/>
      <c r="N141" s="8"/>
      <c r="O141" s="5">
        <v>361005</v>
      </c>
      <c r="P141" s="9" t="s">
        <v>58</v>
      </c>
      <c r="Q141" s="9" t="s">
        <v>32</v>
      </c>
      <c r="R141" s="9" t="s">
        <v>50</v>
      </c>
      <c r="S141" s="9">
        <v>15</v>
      </c>
      <c r="T141" s="9" t="s">
        <v>34</v>
      </c>
      <c r="U141" s="5">
        <v>8500</v>
      </c>
      <c r="V141">
        <f t="shared" si="6"/>
        <v>127500</v>
      </c>
      <c r="W141" s="10">
        <v>0.18</v>
      </c>
      <c r="X141" s="11">
        <f t="shared" si="7"/>
        <v>22950</v>
      </c>
      <c r="Y141">
        <v>0</v>
      </c>
      <c r="Z141" s="11">
        <f t="shared" si="8"/>
        <v>150450</v>
      </c>
    </row>
    <row r="142" spans="1:26" ht="75">
      <c r="A142" s="4">
        <v>46168</v>
      </c>
      <c r="B142" s="5" t="s">
        <v>35</v>
      </c>
      <c r="C142" s="5" t="s">
        <v>35</v>
      </c>
      <c r="D142" s="5" t="s">
        <v>36</v>
      </c>
      <c r="E142" s="5" t="s">
        <v>37</v>
      </c>
      <c r="F142" s="6" t="s">
        <v>26</v>
      </c>
      <c r="G142" s="5" t="s">
        <v>38</v>
      </c>
      <c r="H142" s="5" t="s">
        <v>38</v>
      </c>
      <c r="I142" s="7" t="s">
        <v>28</v>
      </c>
      <c r="J142" s="8" t="s">
        <v>29</v>
      </c>
      <c r="K142" s="4">
        <v>46168</v>
      </c>
      <c r="L142" s="5" t="s">
        <v>39</v>
      </c>
      <c r="M142" s="8"/>
      <c r="N142" s="8"/>
      <c r="O142" s="5">
        <v>380060</v>
      </c>
      <c r="P142" s="9" t="s">
        <v>58</v>
      </c>
      <c r="Q142" s="9" t="s">
        <v>48</v>
      </c>
      <c r="R142" s="9" t="s">
        <v>33</v>
      </c>
      <c r="S142" s="9">
        <v>1</v>
      </c>
      <c r="T142" s="9" t="s">
        <v>67</v>
      </c>
      <c r="U142" s="5">
        <v>10500</v>
      </c>
      <c r="V142">
        <f t="shared" si="6"/>
        <v>10500</v>
      </c>
      <c r="W142" s="10">
        <v>0.18</v>
      </c>
      <c r="X142" s="11">
        <f t="shared" si="7"/>
        <v>1890</v>
      </c>
      <c r="Y142">
        <v>0</v>
      </c>
      <c r="Z142" s="11">
        <f t="shared" si="8"/>
        <v>12390</v>
      </c>
    </row>
    <row r="143" spans="1:26" ht="75">
      <c r="A143" s="4">
        <v>46168</v>
      </c>
      <c r="B143" s="5" t="s">
        <v>35</v>
      </c>
      <c r="C143" s="5" t="s">
        <v>35</v>
      </c>
      <c r="D143" s="5" t="s">
        <v>36</v>
      </c>
      <c r="E143" s="5" t="s">
        <v>37</v>
      </c>
      <c r="F143" s="6" t="s">
        <v>26</v>
      </c>
      <c r="G143" s="5" t="s">
        <v>38</v>
      </c>
      <c r="H143" s="5" t="s">
        <v>38</v>
      </c>
      <c r="I143" s="7" t="s">
        <v>28</v>
      </c>
      <c r="J143" s="8" t="s">
        <v>29</v>
      </c>
      <c r="K143" s="4">
        <v>46168</v>
      </c>
      <c r="L143" s="5" t="s">
        <v>39</v>
      </c>
      <c r="M143" s="8"/>
      <c r="N143" s="8"/>
      <c r="O143" s="5">
        <v>380060</v>
      </c>
      <c r="P143" s="9" t="s">
        <v>58</v>
      </c>
      <c r="Q143" s="9" t="s">
        <v>32</v>
      </c>
      <c r="R143" s="9" t="s">
        <v>33</v>
      </c>
      <c r="S143" s="9">
        <v>1</v>
      </c>
      <c r="T143" s="9" t="s">
        <v>67</v>
      </c>
      <c r="U143" s="5">
        <v>13400</v>
      </c>
      <c r="V143">
        <f t="shared" si="6"/>
        <v>13400</v>
      </c>
      <c r="W143" s="10">
        <v>0.18</v>
      </c>
      <c r="X143" s="11">
        <f t="shared" si="7"/>
        <v>2412</v>
      </c>
      <c r="Y143">
        <v>0</v>
      </c>
      <c r="Z143" s="11">
        <f t="shared" si="8"/>
        <v>15812</v>
      </c>
    </row>
    <row r="144" spans="1:26" ht="75">
      <c r="A144" s="4">
        <v>46168</v>
      </c>
      <c r="B144" s="5" t="s">
        <v>35</v>
      </c>
      <c r="C144" s="5" t="s">
        <v>35</v>
      </c>
      <c r="D144" s="5" t="s">
        <v>36</v>
      </c>
      <c r="E144" s="5" t="s">
        <v>37</v>
      </c>
      <c r="F144" s="6" t="s">
        <v>26</v>
      </c>
      <c r="G144" s="5" t="s">
        <v>38</v>
      </c>
      <c r="H144" s="5" t="s">
        <v>38</v>
      </c>
      <c r="I144" s="7" t="s">
        <v>28</v>
      </c>
      <c r="J144" s="8" t="s">
        <v>29</v>
      </c>
      <c r="K144" s="4">
        <v>46168</v>
      </c>
      <c r="L144" s="5" t="s">
        <v>39</v>
      </c>
      <c r="M144" s="8"/>
      <c r="N144" s="8"/>
      <c r="O144" s="5">
        <v>380060</v>
      </c>
      <c r="P144" s="9" t="s">
        <v>58</v>
      </c>
      <c r="Q144" s="9" t="s">
        <v>121</v>
      </c>
      <c r="R144" s="9" t="s">
        <v>33</v>
      </c>
      <c r="S144" s="9">
        <v>1</v>
      </c>
      <c r="T144" s="9" t="s">
        <v>67</v>
      </c>
      <c r="U144" s="5">
        <v>19400</v>
      </c>
      <c r="V144">
        <f t="shared" si="6"/>
        <v>19400</v>
      </c>
      <c r="W144" s="10">
        <v>0.18</v>
      </c>
      <c r="X144" s="11">
        <f t="shared" si="7"/>
        <v>3492</v>
      </c>
      <c r="Y144">
        <v>0</v>
      </c>
      <c r="Z144" s="11">
        <f t="shared" si="8"/>
        <v>22892</v>
      </c>
    </row>
    <row r="145" spans="1:26" ht="30">
      <c r="A145" s="4">
        <v>46168</v>
      </c>
      <c r="B145" s="9" t="s">
        <v>42</v>
      </c>
      <c r="C145" s="9" t="s">
        <v>42</v>
      </c>
      <c r="D145" s="9" t="s">
        <v>42</v>
      </c>
      <c r="E145" s="5" t="s">
        <v>43</v>
      </c>
      <c r="F145" s="6" t="s">
        <v>26</v>
      </c>
      <c r="G145" s="5" t="s">
        <v>44</v>
      </c>
      <c r="H145" s="5" t="s">
        <v>44</v>
      </c>
      <c r="I145" s="7" t="s">
        <v>28</v>
      </c>
      <c r="J145" s="8" t="s">
        <v>29</v>
      </c>
      <c r="K145" s="4">
        <v>46168</v>
      </c>
      <c r="L145" s="5" t="s">
        <v>45</v>
      </c>
      <c r="M145" s="8"/>
      <c r="N145" s="8"/>
      <c r="O145" s="5">
        <v>600001</v>
      </c>
      <c r="P145" s="9" t="s">
        <v>31</v>
      </c>
      <c r="Q145" s="9" t="s">
        <v>46</v>
      </c>
      <c r="R145" s="9" t="s">
        <v>41</v>
      </c>
      <c r="S145" s="9">
        <v>1</v>
      </c>
      <c r="T145" s="9" t="s">
        <v>34</v>
      </c>
      <c r="U145" s="5">
        <v>13395</v>
      </c>
      <c r="V145">
        <f t="shared" si="6"/>
        <v>13395</v>
      </c>
      <c r="W145" s="10">
        <v>0.18</v>
      </c>
      <c r="X145" s="11">
        <f t="shared" si="7"/>
        <v>2411.1</v>
      </c>
      <c r="Y145">
        <v>0</v>
      </c>
      <c r="Z145" s="11">
        <f t="shared" si="8"/>
        <v>15806.1</v>
      </c>
    </row>
    <row r="146" spans="1:26" ht="30">
      <c r="A146" s="4">
        <v>46168</v>
      </c>
      <c r="B146" s="9" t="s">
        <v>42</v>
      </c>
      <c r="C146" s="9" t="s">
        <v>42</v>
      </c>
      <c r="D146" s="9" t="s">
        <v>42</v>
      </c>
      <c r="E146" s="5" t="s">
        <v>43</v>
      </c>
      <c r="F146" s="6" t="s">
        <v>26</v>
      </c>
      <c r="G146" s="5" t="s">
        <v>44</v>
      </c>
      <c r="H146" s="5" t="s">
        <v>44</v>
      </c>
      <c r="I146" s="7" t="s">
        <v>28</v>
      </c>
      <c r="J146" s="8" t="s">
        <v>29</v>
      </c>
      <c r="K146" s="4">
        <v>46168</v>
      </c>
      <c r="L146" s="5" t="s">
        <v>45</v>
      </c>
      <c r="M146" s="8"/>
      <c r="N146" s="8"/>
      <c r="O146" s="5">
        <v>600001</v>
      </c>
      <c r="P146" s="9" t="s">
        <v>31</v>
      </c>
      <c r="Q146" s="9" t="s">
        <v>231</v>
      </c>
      <c r="R146" s="9" t="s">
        <v>47</v>
      </c>
      <c r="S146" s="9">
        <v>1</v>
      </c>
      <c r="T146" s="9" t="s">
        <v>34</v>
      </c>
      <c r="U146" s="5">
        <v>24900</v>
      </c>
      <c r="V146">
        <f t="shared" si="6"/>
        <v>24900</v>
      </c>
      <c r="W146" s="10">
        <v>0.18</v>
      </c>
      <c r="X146" s="11">
        <f t="shared" si="7"/>
        <v>4482</v>
      </c>
      <c r="Y146">
        <v>0</v>
      </c>
      <c r="Z146" s="11">
        <f t="shared" si="8"/>
        <v>29382</v>
      </c>
    </row>
    <row r="147" spans="1:26" ht="30">
      <c r="A147" s="4">
        <v>46168</v>
      </c>
      <c r="B147" s="9" t="s">
        <v>42</v>
      </c>
      <c r="C147" s="9" t="s">
        <v>42</v>
      </c>
      <c r="D147" s="9" t="s">
        <v>42</v>
      </c>
      <c r="E147" s="5" t="s">
        <v>43</v>
      </c>
      <c r="F147" s="6" t="s">
        <v>26</v>
      </c>
      <c r="G147" s="5" t="s">
        <v>44</v>
      </c>
      <c r="H147" s="5" t="s">
        <v>44</v>
      </c>
      <c r="I147" s="7" t="s">
        <v>28</v>
      </c>
      <c r="J147" s="8" t="s">
        <v>29</v>
      </c>
      <c r="K147" s="4">
        <v>46168</v>
      </c>
      <c r="L147" s="5" t="s">
        <v>45</v>
      </c>
      <c r="M147" s="8"/>
      <c r="N147" s="8"/>
      <c r="O147" s="5">
        <v>600001</v>
      </c>
      <c r="P147" s="9" t="s">
        <v>31</v>
      </c>
      <c r="Q147" s="9" t="s">
        <v>231</v>
      </c>
      <c r="R147" s="9" t="s">
        <v>50</v>
      </c>
      <c r="S147" s="9">
        <v>5</v>
      </c>
      <c r="T147" s="9" t="s">
        <v>34</v>
      </c>
      <c r="U147" s="5">
        <v>18900</v>
      </c>
      <c r="V147">
        <f t="shared" si="6"/>
        <v>94500</v>
      </c>
      <c r="W147" s="10">
        <v>0.18</v>
      </c>
      <c r="X147" s="11">
        <f t="shared" si="7"/>
        <v>17010</v>
      </c>
      <c r="Y147">
        <v>0</v>
      </c>
      <c r="Z147" s="11">
        <f t="shared" si="8"/>
        <v>111510</v>
      </c>
    </row>
    <row r="148" spans="1:26" ht="45">
      <c r="A148" s="4">
        <v>46169</v>
      </c>
      <c r="B148" s="5" t="s">
        <v>232</v>
      </c>
      <c r="C148" s="5" t="s">
        <v>232</v>
      </c>
      <c r="D148" s="5" t="s">
        <v>232</v>
      </c>
      <c r="E148" s="5" t="s">
        <v>233</v>
      </c>
      <c r="F148" s="6" t="s">
        <v>26</v>
      </c>
      <c r="G148" s="5" t="s">
        <v>234</v>
      </c>
      <c r="H148" s="5" t="s">
        <v>234</v>
      </c>
      <c r="I148" s="7" t="s">
        <v>28</v>
      </c>
      <c r="J148" s="8" t="s">
        <v>29</v>
      </c>
      <c r="K148" s="4">
        <v>46169</v>
      </c>
      <c r="L148" s="5" t="s">
        <v>235</v>
      </c>
      <c r="M148" s="8"/>
      <c r="N148" s="8"/>
      <c r="O148" s="5">
        <v>361140</v>
      </c>
      <c r="P148" s="9" t="s">
        <v>31</v>
      </c>
      <c r="Q148" s="9" t="s">
        <v>52</v>
      </c>
      <c r="R148" s="9" t="s">
        <v>41</v>
      </c>
      <c r="S148" s="9">
        <v>245</v>
      </c>
      <c r="T148" s="9" t="s">
        <v>180</v>
      </c>
      <c r="U148" s="5">
        <v>2200</v>
      </c>
      <c r="V148">
        <f t="shared" si="6"/>
        <v>539000</v>
      </c>
      <c r="W148" s="10">
        <v>0.18</v>
      </c>
      <c r="X148" s="11">
        <f t="shared" si="7"/>
        <v>97020</v>
      </c>
      <c r="Y148">
        <v>0</v>
      </c>
      <c r="Z148" s="11">
        <f t="shared" si="8"/>
        <v>636020</v>
      </c>
    </row>
    <row r="149" spans="1:26" ht="45">
      <c r="A149" s="4">
        <v>46169</v>
      </c>
      <c r="B149" s="5" t="s">
        <v>232</v>
      </c>
      <c r="C149" s="5" t="s">
        <v>232</v>
      </c>
      <c r="D149" s="5" t="s">
        <v>232</v>
      </c>
      <c r="E149" s="5" t="s">
        <v>233</v>
      </c>
      <c r="F149" s="6" t="s">
        <v>26</v>
      </c>
      <c r="G149" s="5" t="s">
        <v>234</v>
      </c>
      <c r="H149" s="5" t="s">
        <v>234</v>
      </c>
      <c r="I149" s="7" t="s">
        <v>28</v>
      </c>
      <c r="J149" s="8" t="s">
        <v>29</v>
      </c>
      <c r="K149" s="4">
        <v>46169</v>
      </c>
      <c r="L149" s="5" t="s">
        <v>235</v>
      </c>
      <c r="M149" s="8"/>
      <c r="N149" s="8"/>
      <c r="O149" s="5">
        <v>361140</v>
      </c>
      <c r="P149" s="9" t="s">
        <v>31</v>
      </c>
      <c r="Q149" s="9" t="s">
        <v>48</v>
      </c>
      <c r="R149" s="9" t="s">
        <v>41</v>
      </c>
      <c r="S149" s="9">
        <v>187</v>
      </c>
      <c r="T149" s="9" t="s">
        <v>180</v>
      </c>
      <c r="U149" s="5">
        <v>4300</v>
      </c>
      <c r="V149">
        <f t="shared" si="6"/>
        <v>804100</v>
      </c>
      <c r="W149" s="10">
        <v>0.18</v>
      </c>
      <c r="X149" s="11">
        <f t="shared" si="7"/>
        <v>144738</v>
      </c>
      <c r="Y149">
        <v>0</v>
      </c>
      <c r="Z149" s="11">
        <f t="shared" si="8"/>
        <v>948838</v>
      </c>
    </row>
    <row r="150" spans="1:26" ht="45">
      <c r="A150" s="4">
        <v>46169</v>
      </c>
      <c r="B150" s="5" t="s">
        <v>232</v>
      </c>
      <c r="C150" s="5" t="s">
        <v>232</v>
      </c>
      <c r="D150" s="5" t="s">
        <v>232</v>
      </c>
      <c r="E150" s="5" t="s">
        <v>233</v>
      </c>
      <c r="F150" s="6" t="s">
        <v>26</v>
      </c>
      <c r="G150" s="5" t="s">
        <v>234</v>
      </c>
      <c r="H150" s="5" t="s">
        <v>234</v>
      </c>
      <c r="I150" s="7" t="s">
        <v>28</v>
      </c>
      <c r="J150" s="8" t="s">
        <v>29</v>
      </c>
      <c r="K150" s="4">
        <v>46169</v>
      </c>
      <c r="L150" s="5" t="s">
        <v>235</v>
      </c>
      <c r="M150" s="8"/>
      <c r="N150" s="8"/>
      <c r="O150" s="5">
        <v>361140</v>
      </c>
      <c r="P150" s="9" t="s">
        <v>31</v>
      </c>
      <c r="Q150" s="9" t="s">
        <v>52</v>
      </c>
      <c r="R150" s="9" t="s">
        <v>41</v>
      </c>
      <c r="S150" s="9">
        <v>35</v>
      </c>
      <c r="T150" s="9" t="s">
        <v>34</v>
      </c>
      <c r="U150" s="5">
        <v>2200</v>
      </c>
      <c r="V150">
        <f t="shared" si="6"/>
        <v>77000</v>
      </c>
      <c r="W150" s="10">
        <v>0.18</v>
      </c>
      <c r="X150" s="11">
        <f t="shared" si="7"/>
        <v>13860</v>
      </c>
      <c r="Y150">
        <v>0</v>
      </c>
      <c r="Z150" s="11">
        <f t="shared" si="8"/>
        <v>90860</v>
      </c>
    </row>
    <row r="151" spans="1:26" ht="45">
      <c r="A151" s="4">
        <v>46169</v>
      </c>
      <c r="B151" s="5" t="s">
        <v>232</v>
      </c>
      <c r="C151" s="5" t="s">
        <v>232</v>
      </c>
      <c r="D151" s="5" t="s">
        <v>232</v>
      </c>
      <c r="E151" s="5" t="s">
        <v>233</v>
      </c>
      <c r="F151" s="6" t="s">
        <v>26</v>
      </c>
      <c r="G151" s="5" t="s">
        <v>234</v>
      </c>
      <c r="H151" s="5" t="s">
        <v>234</v>
      </c>
      <c r="I151" s="7" t="s">
        <v>28</v>
      </c>
      <c r="J151" s="8" t="s">
        <v>29</v>
      </c>
      <c r="K151" s="4">
        <v>46169</v>
      </c>
      <c r="L151" s="5" t="s">
        <v>235</v>
      </c>
      <c r="M151" s="8"/>
      <c r="N151" s="8"/>
      <c r="O151" s="5">
        <v>361140</v>
      </c>
      <c r="P151" s="9" t="s">
        <v>31</v>
      </c>
      <c r="Q151" s="9" t="s">
        <v>48</v>
      </c>
      <c r="R151" s="9" t="s">
        <v>41</v>
      </c>
      <c r="S151" s="9">
        <v>20</v>
      </c>
      <c r="T151" s="9" t="s">
        <v>34</v>
      </c>
      <c r="U151" s="5">
        <v>4300</v>
      </c>
      <c r="V151">
        <f t="shared" si="6"/>
        <v>86000</v>
      </c>
      <c r="W151" s="10">
        <v>0.18</v>
      </c>
      <c r="X151" s="11">
        <f t="shared" si="7"/>
        <v>15480</v>
      </c>
      <c r="Y151">
        <v>0</v>
      </c>
      <c r="Z151" s="11">
        <f t="shared" si="8"/>
        <v>101480</v>
      </c>
    </row>
    <row r="152" spans="1:26" ht="45">
      <c r="A152" s="4">
        <v>46169</v>
      </c>
      <c r="B152" s="5" t="s">
        <v>232</v>
      </c>
      <c r="C152" s="5" t="s">
        <v>232</v>
      </c>
      <c r="D152" s="5" t="s">
        <v>232</v>
      </c>
      <c r="E152" s="5" t="s">
        <v>233</v>
      </c>
      <c r="F152" s="6" t="s">
        <v>26</v>
      </c>
      <c r="G152" s="5" t="s">
        <v>234</v>
      </c>
      <c r="H152" s="5" t="s">
        <v>234</v>
      </c>
      <c r="I152" s="7" t="s">
        <v>28</v>
      </c>
      <c r="J152" s="8" t="s">
        <v>29</v>
      </c>
      <c r="K152" s="4">
        <v>46169</v>
      </c>
      <c r="L152" s="5" t="s">
        <v>235</v>
      </c>
      <c r="M152" s="8"/>
      <c r="N152" s="8"/>
      <c r="O152" s="5">
        <v>361140</v>
      </c>
      <c r="P152" s="9" t="s">
        <v>31</v>
      </c>
      <c r="Q152" s="9" t="s">
        <v>32</v>
      </c>
      <c r="R152" s="9" t="s">
        <v>41</v>
      </c>
      <c r="S152" s="9">
        <v>30</v>
      </c>
      <c r="T152" s="9" t="s">
        <v>34</v>
      </c>
      <c r="U152" s="5">
        <v>6950</v>
      </c>
      <c r="V152">
        <f t="shared" si="6"/>
        <v>208500</v>
      </c>
      <c r="W152" s="10">
        <v>0.18</v>
      </c>
      <c r="X152" s="11">
        <f t="shared" si="7"/>
        <v>37530</v>
      </c>
      <c r="Y152">
        <v>0</v>
      </c>
      <c r="Z152" s="11">
        <f t="shared" si="8"/>
        <v>246030</v>
      </c>
    </row>
    <row r="153" spans="1:26" ht="45">
      <c r="A153" s="4">
        <v>46169</v>
      </c>
      <c r="B153" s="5" t="s">
        <v>232</v>
      </c>
      <c r="C153" s="5" t="s">
        <v>232</v>
      </c>
      <c r="D153" s="5" t="s">
        <v>232</v>
      </c>
      <c r="E153" s="5" t="s">
        <v>233</v>
      </c>
      <c r="F153" s="6" t="s">
        <v>26</v>
      </c>
      <c r="G153" s="5" t="s">
        <v>234</v>
      </c>
      <c r="H153" s="5" t="s">
        <v>234</v>
      </c>
      <c r="I153" s="7" t="s">
        <v>28</v>
      </c>
      <c r="J153" s="8" t="s">
        <v>29</v>
      </c>
      <c r="K153" s="4">
        <v>46169</v>
      </c>
      <c r="L153" s="5" t="s">
        <v>235</v>
      </c>
      <c r="M153" s="8"/>
      <c r="N153" s="8"/>
      <c r="O153" s="5">
        <v>361140</v>
      </c>
      <c r="P153" s="9" t="s">
        <v>31</v>
      </c>
      <c r="Q153" s="9" t="s">
        <v>72</v>
      </c>
      <c r="R153" s="9" t="s">
        <v>41</v>
      </c>
      <c r="S153" s="9">
        <v>10</v>
      </c>
      <c r="T153" s="9" t="s">
        <v>34</v>
      </c>
      <c r="U153" s="5">
        <v>21850</v>
      </c>
      <c r="V153">
        <f t="shared" si="6"/>
        <v>218500</v>
      </c>
      <c r="W153" s="10">
        <v>0.18</v>
      </c>
      <c r="X153" s="11">
        <f t="shared" si="7"/>
        <v>39330</v>
      </c>
      <c r="Y153">
        <v>0</v>
      </c>
      <c r="Z153" s="11">
        <f t="shared" si="8"/>
        <v>257830</v>
      </c>
    </row>
    <row r="154" spans="1:26" ht="45">
      <c r="A154" s="4">
        <v>46169</v>
      </c>
      <c r="B154" s="5" t="s">
        <v>232</v>
      </c>
      <c r="C154" s="5" t="s">
        <v>232</v>
      </c>
      <c r="D154" s="5" t="s">
        <v>232</v>
      </c>
      <c r="E154" s="5" t="s">
        <v>233</v>
      </c>
      <c r="F154" s="6" t="s">
        <v>26</v>
      </c>
      <c r="G154" s="5" t="s">
        <v>234</v>
      </c>
      <c r="H154" s="5" t="s">
        <v>234</v>
      </c>
      <c r="I154" s="7" t="s">
        <v>28</v>
      </c>
      <c r="J154" s="8" t="s">
        <v>29</v>
      </c>
      <c r="K154" s="4">
        <v>46169</v>
      </c>
      <c r="L154" s="5" t="s">
        <v>235</v>
      </c>
      <c r="M154" s="8"/>
      <c r="N154" s="8"/>
      <c r="O154" s="5">
        <v>361140</v>
      </c>
      <c r="P154" s="9" t="s">
        <v>31</v>
      </c>
      <c r="Q154" s="9" t="s">
        <v>32</v>
      </c>
      <c r="R154" s="9" t="s">
        <v>33</v>
      </c>
      <c r="S154" s="9">
        <v>25</v>
      </c>
      <c r="T154" s="9" t="s">
        <v>34</v>
      </c>
      <c r="U154" s="5">
        <v>10300</v>
      </c>
      <c r="V154">
        <f t="shared" si="6"/>
        <v>257500</v>
      </c>
      <c r="W154" s="10">
        <v>0.18</v>
      </c>
      <c r="X154" s="11">
        <f t="shared" si="7"/>
        <v>46350</v>
      </c>
      <c r="Y154">
        <v>0</v>
      </c>
      <c r="Z154" s="11">
        <f t="shared" si="8"/>
        <v>303850</v>
      </c>
    </row>
    <row r="155" spans="1:26" ht="45">
      <c r="A155" s="4">
        <v>46169</v>
      </c>
      <c r="B155" s="5" t="s">
        <v>232</v>
      </c>
      <c r="C155" s="5" t="s">
        <v>232</v>
      </c>
      <c r="D155" s="5" t="s">
        <v>232</v>
      </c>
      <c r="E155" s="5" t="s">
        <v>233</v>
      </c>
      <c r="F155" s="6" t="s">
        <v>26</v>
      </c>
      <c r="G155" s="5" t="s">
        <v>234</v>
      </c>
      <c r="H155" s="5" t="s">
        <v>234</v>
      </c>
      <c r="I155" s="7" t="s">
        <v>28</v>
      </c>
      <c r="J155" s="8" t="s">
        <v>29</v>
      </c>
      <c r="K155" s="4">
        <v>46169</v>
      </c>
      <c r="L155" s="5" t="s">
        <v>235</v>
      </c>
      <c r="M155" s="8"/>
      <c r="N155" s="8"/>
      <c r="O155" s="5">
        <v>361140</v>
      </c>
      <c r="P155" s="9" t="s">
        <v>31</v>
      </c>
      <c r="Q155" s="9" t="s">
        <v>72</v>
      </c>
      <c r="R155" s="9" t="s">
        <v>50</v>
      </c>
      <c r="S155" s="9">
        <v>15</v>
      </c>
      <c r="T155" s="9" t="s">
        <v>34</v>
      </c>
      <c r="U155" s="5">
        <v>27800</v>
      </c>
      <c r="V155">
        <f t="shared" si="6"/>
        <v>417000</v>
      </c>
      <c r="W155" s="10">
        <v>0.18</v>
      </c>
      <c r="X155" s="11">
        <f t="shared" si="7"/>
        <v>75060</v>
      </c>
      <c r="Y155">
        <v>0</v>
      </c>
      <c r="Z155" s="11">
        <f t="shared" si="8"/>
        <v>492060</v>
      </c>
    </row>
    <row r="156" spans="1:26" ht="45">
      <c r="A156" s="4">
        <v>46169</v>
      </c>
      <c r="B156" s="5" t="s">
        <v>232</v>
      </c>
      <c r="C156" s="5" t="s">
        <v>232</v>
      </c>
      <c r="D156" s="5" t="s">
        <v>232</v>
      </c>
      <c r="E156" s="5" t="s">
        <v>233</v>
      </c>
      <c r="F156" s="6" t="s">
        <v>26</v>
      </c>
      <c r="G156" s="5" t="s">
        <v>234</v>
      </c>
      <c r="H156" s="5" t="s">
        <v>234</v>
      </c>
      <c r="I156" s="7" t="s">
        <v>28</v>
      </c>
      <c r="J156" s="8" t="s">
        <v>29</v>
      </c>
      <c r="K156" s="4">
        <v>46169</v>
      </c>
      <c r="L156" s="5" t="s">
        <v>235</v>
      </c>
      <c r="M156" s="8"/>
      <c r="N156" s="8"/>
      <c r="O156" s="5">
        <v>361140</v>
      </c>
      <c r="P156" s="9" t="s">
        <v>31</v>
      </c>
      <c r="Q156" s="9" t="s">
        <v>77</v>
      </c>
      <c r="R156" s="9" t="s">
        <v>33</v>
      </c>
      <c r="S156" s="9">
        <v>10</v>
      </c>
      <c r="T156" s="9" t="s">
        <v>34</v>
      </c>
      <c r="U156" s="5">
        <v>49500</v>
      </c>
      <c r="V156">
        <f t="shared" si="6"/>
        <v>495000</v>
      </c>
      <c r="W156" s="10">
        <v>0.18</v>
      </c>
      <c r="X156" s="11">
        <f t="shared" si="7"/>
        <v>89100</v>
      </c>
      <c r="Y156">
        <v>0</v>
      </c>
      <c r="Z156" s="11">
        <f t="shared" si="8"/>
        <v>584100</v>
      </c>
    </row>
    <row r="157" spans="1:26" ht="45">
      <c r="A157" s="4">
        <v>46169</v>
      </c>
      <c r="B157" s="5" t="s">
        <v>232</v>
      </c>
      <c r="C157" s="5" t="s">
        <v>232</v>
      </c>
      <c r="D157" s="5" t="s">
        <v>232</v>
      </c>
      <c r="E157" s="5" t="s">
        <v>233</v>
      </c>
      <c r="F157" s="6" t="s">
        <v>26</v>
      </c>
      <c r="G157" s="5" t="s">
        <v>234</v>
      </c>
      <c r="H157" s="5" t="s">
        <v>234</v>
      </c>
      <c r="I157" s="7" t="s">
        <v>28</v>
      </c>
      <c r="J157" s="8" t="s">
        <v>29</v>
      </c>
      <c r="K157" s="4">
        <v>46169</v>
      </c>
      <c r="L157" s="5" t="s">
        <v>235</v>
      </c>
      <c r="M157" s="8"/>
      <c r="N157" s="8"/>
      <c r="O157" s="5">
        <v>361140</v>
      </c>
      <c r="P157" s="9" t="s">
        <v>31</v>
      </c>
      <c r="Q157" s="9" t="s">
        <v>32</v>
      </c>
      <c r="R157" s="9" t="s">
        <v>47</v>
      </c>
      <c r="S157" s="9">
        <v>3</v>
      </c>
      <c r="T157" s="9" t="s">
        <v>34</v>
      </c>
      <c r="U157" s="5">
        <v>16200</v>
      </c>
      <c r="V157">
        <f t="shared" si="6"/>
        <v>48600</v>
      </c>
      <c r="W157" s="10">
        <v>0.18</v>
      </c>
      <c r="X157" s="11">
        <f t="shared" si="7"/>
        <v>8748</v>
      </c>
      <c r="Y157">
        <v>0</v>
      </c>
      <c r="Z157" s="11">
        <f t="shared" si="8"/>
        <v>57348</v>
      </c>
    </row>
    <row r="158" spans="1:26" ht="45">
      <c r="A158" s="4">
        <v>46169</v>
      </c>
      <c r="B158" s="5" t="s">
        <v>232</v>
      </c>
      <c r="C158" s="5" t="s">
        <v>232</v>
      </c>
      <c r="D158" s="5" t="s">
        <v>232</v>
      </c>
      <c r="E158" s="5" t="s">
        <v>233</v>
      </c>
      <c r="F158" s="6" t="s">
        <v>26</v>
      </c>
      <c r="G158" s="5" t="s">
        <v>234</v>
      </c>
      <c r="H158" s="5" t="s">
        <v>234</v>
      </c>
      <c r="I158" s="7" t="s">
        <v>28</v>
      </c>
      <c r="J158" s="8" t="s">
        <v>29</v>
      </c>
      <c r="K158" s="4">
        <v>46169</v>
      </c>
      <c r="L158" s="5" t="s">
        <v>235</v>
      </c>
      <c r="M158" s="8"/>
      <c r="N158" s="8"/>
      <c r="O158" s="5">
        <v>361140</v>
      </c>
      <c r="P158" s="9" t="s">
        <v>31</v>
      </c>
      <c r="Q158" s="9" t="s">
        <v>121</v>
      </c>
      <c r="R158" s="9" t="s">
        <v>47</v>
      </c>
      <c r="S158" s="9">
        <v>10</v>
      </c>
      <c r="T158" s="9" t="s">
        <v>34</v>
      </c>
      <c r="U158" s="5">
        <v>25950</v>
      </c>
      <c r="V158">
        <f t="shared" si="6"/>
        <v>259500</v>
      </c>
      <c r="W158" s="10">
        <v>0.18</v>
      </c>
      <c r="X158" s="11">
        <f t="shared" si="7"/>
        <v>46710</v>
      </c>
      <c r="Y158">
        <v>0</v>
      </c>
      <c r="Z158" s="11">
        <f t="shared" si="8"/>
        <v>306210</v>
      </c>
    </row>
    <row r="159" spans="1:26" ht="45">
      <c r="A159" s="4">
        <v>46169</v>
      </c>
      <c r="B159" s="5" t="s">
        <v>232</v>
      </c>
      <c r="C159" s="5" t="s">
        <v>232</v>
      </c>
      <c r="D159" s="5" t="s">
        <v>232</v>
      </c>
      <c r="E159" s="5" t="s">
        <v>233</v>
      </c>
      <c r="F159" s="6" t="s">
        <v>26</v>
      </c>
      <c r="G159" s="5" t="s">
        <v>234</v>
      </c>
      <c r="H159" s="5" t="s">
        <v>234</v>
      </c>
      <c r="I159" s="7" t="s">
        <v>28</v>
      </c>
      <c r="J159" s="8" t="s">
        <v>29</v>
      </c>
      <c r="K159" s="4">
        <v>46169</v>
      </c>
      <c r="L159" s="5" t="s">
        <v>235</v>
      </c>
      <c r="M159" s="8"/>
      <c r="N159" s="8"/>
      <c r="O159" s="5">
        <v>361140</v>
      </c>
      <c r="P159" s="9" t="s">
        <v>31</v>
      </c>
      <c r="Q159" s="9" t="s">
        <v>236</v>
      </c>
      <c r="R159" s="9" t="s">
        <v>50</v>
      </c>
      <c r="S159" s="9">
        <v>3</v>
      </c>
      <c r="T159" s="9" t="s">
        <v>34</v>
      </c>
      <c r="U159" s="5">
        <v>27800</v>
      </c>
      <c r="V159">
        <f t="shared" si="6"/>
        <v>83400</v>
      </c>
      <c r="W159" s="10">
        <v>0.18</v>
      </c>
      <c r="X159" s="11">
        <f t="shared" si="7"/>
        <v>15012</v>
      </c>
      <c r="Y159">
        <v>0</v>
      </c>
      <c r="Z159" s="11">
        <f t="shared" si="8"/>
        <v>98412</v>
      </c>
    </row>
    <row r="160" spans="1:26" ht="45">
      <c r="A160" s="4">
        <v>46169</v>
      </c>
      <c r="B160" s="5" t="s">
        <v>232</v>
      </c>
      <c r="C160" s="5" t="s">
        <v>232</v>
      </c>
      <c r="D160" s="5" t="s">
        <v>232</v>
      </c>
      <c r="E160" s="5" t="s">
        <v>233</v>
      </c>
      <c r="F160" s="6" t="s">
        <v>26</v>
      </c>
      <c r="G160" s="5" t="s">
        <v>234</v>
      </c>
      <c r="H160" s="5" t="s">
        <v>234</v>
      </c>
      <c r="I160" s="7" t="s">
        <v>28</v>
      </c>
      <c r="J160" s="8" t="s">
        <v>29</v>
      </c>
      <c r="K160" s="4">
        <v>46169</v>
      </c>
      <c r="L160" s="5" t="s">
        <v>235</v>
      </c>
      <c r="M160" s="8"/>
      <c r="N160" s="8"/>
      <c r="O160" s="5">
        <v>361140</v>
      </c>
      <c r="P160" s="9" t="s">
        <v>31</v>
      </c>
      <c r="Q160" s="9" t="s">
        <v>46</v>
      </c>
      <c r="R160" s="9" t="s">
        <v>47</v>
      </c>
      <c r="S160" s="9">
        <v>3</v>
      </c>
      <c r="T160" s="9" t="s">
        <v>34</v>
      </c>
      <c r="U160" s="5">
        <v>53350</v>
      </c>
      <c r="V160">
        <f t="shared" si="6"/>
        <v>160050</v>
      </c>
      <c r="W160" s="10">
        <v>0.18</v>
      </c>
      <c r="X160" s="11">
        <f t="shared" si="7"/>
        <v>28809</v>
      </c>
      <c r="Y160">
        <v>0</v>
      </c>
      <c r="Z160" s="11">
        <f t="shared" si="8"/>
        <v>188859</v>
      </c>
    </row>
    <row r="161" spans="1:26" ht="45">
      <c r="A161" s="4">
        <v>46169</v>
      </c>
      <c r="B161" s="5" t="s">
        <v>232</v>
      </c>
      <c r="C161" s="5" t="s">
        <v>232</v>
      </c>
      <c r="D161" s="5" t="s">
        <v>232</v>
      </c>
      <c r="E161" s="5" t="s">
        <v>233</v>
      </c>
      <c r="F161" s="6" t="s">
        <v>26</v>
      </c>
      <c r="G161" s="5" t="s">
        <v>234</v>
      </c>
      <c r="H161" s="5" t="s">
        <v>234</v>
      </c>
      <c r="I161" s="7" t="s">
        <v>28</v>
      </c>
      <c r="J161" s="8" t="s">
        <v>29</v>
      </c>
      <c r="K161" s="4">
        <v>46169</v>
      </c>
      <c r="L161" s="5" t="s">
        <v>235</v>
      </c>
      <c r="M161" s="8"/>
      <c r="N161" s="8"/>
      <c r="O161" s="5">
        <v>361140</v>
      </c>
      <c r="P161" s="9" t="s">
        <v>31</v>
      </c>
      <c r="Q161" s="9" t="s">
        <v>77</v>
      </c>
      <c r="R161" s="9" t="s">
        <v>47</v>
      </c>
      <c r="S161" s="9">
        <v>2</v>
      </c>
      <c r="T161" s="9" t="s">
        <v>34</v>
      </c>
      <c r="U161" s="5">
        <v>79650</v>
      </c>
      <c r="V161">
        <f t="shared" si="6"/>
        <v>159300</v>
      </c>
      <c r="W161" s="10">
        <v>0.18</v>
      </c>
      <c r="X161" s="11">
        <f t="shared" si="7"/>
        <v>28674</v>
      </c>
      <c r="Y161">
        <v>0</v>
      </c>
      <c r="Z161" s="11">
        <f t="shared" si="8"/>
        <v>187974</v>
      </c>
    </row>
    <row r="162" spans="1:26" ht="45">
      <c r="A162" s="4">
        <v>46169</v>
      </c>
      <c r="B162" s="5" t="s">
        <v>144</v>
      </c>
      <c r="C162" s="5" t="s">
        <v>144</v>
      </c>
      <c r="D162" s="5" t="s">
        <v>144</v>
      </c>
      <c r="E162" s="5" t="s">
        <v>145</v>
      </c>
      <c r="F162" s="6" t="s">
        <v>26</v>
      </c>
      <c r="G162" s="5" t="s">
        <v>146</v>
      </c>
      <c r="H162" s="5" t="s">
        <v>146</v>
      </c>
      <c r="I162" s="7" t="s">
        <v>28</v>
      </c>
      <c r="J162" s="8" t="s">
        <v>29</v>
      </c>
      <c r="K162" s="4">
        <v>46169</v>
      </c>
      <c r="L162" s="5" t="s">
        <v>147</v>
      </c>
      <c r="M162" s="8"/>
      <c r="N162" s="8"/>
      <c r="O162" s="5">
        <v>560002</v>
      </c>
      <c r="P162" s="9" t="s">
        <v>57</v>
      </c>
      <c r="Q162" s="9" t="s">
        <v>121</v>
      </c>
      <c r="R162" s="9" t="s">
        <v>47</v>
      </c>
      <c r="S162" s="9">
        <v>10</v>
      </c>
      <c r="T162" s="9" t="s">
        <v>34</v>
      </c>
      <c r="U162" s="5">
        <v>13050</v>
      </c>
      <c r="V162">
        <f t="shared" si="6"/>
        <v>130500</v>
      </c>
      <c r="W162" s="10">
        <v>0.18</v>
      </c>
      <c r="X162" s="11">
        <f t="shared" si="7"/>
        <v>23490</v>
      </c>
      <c r="Y162">
        <v>0</v>
      </c>
      <c r="Z162" s="11">
        <f t="shared" si="8"/>
        <v>153990</v>
      </c>
    </row>
    <row r="163" spans="1:26" ht="60">
      <c r="A163" s="4">
        <v>46171</v>
      </c>
      <c r="B163" s="9" t="s">
        <v>237</v>
      </c>
      <c r="C163" s="9" t="s">
        <v>237</v>
      </c>
      <c r="D163" s="9" t="s">
        <v>237</v>
      </c>
      <c r="E163" s="9" t="s">
        <v>238</v>
      </c>
      <c r="F163" s="6" t="s">
        <v>26</v>
      </c>
      <c r="G163" s="5" t="s">
        <v>239</v>
      </c>
      <c r="H163" s="5" t="s">
        <v>239</v>
      </c>
      <c r="I163" s="7" t="s">
        <v>28</v>
      </c>
      <c r="J163" s="8" t="s">
        <v>29</v>
      </c>
      <c r="K163" s="4">
        <v>46171</v>
      </c>
      <c r="L163" s="5" t="s">
        <v>240</v>
      </c>
      <c r="M163" s="8"/>
      <c r="N163" s="8"/>
      <c r="O163" s="5">
        <v>382445</v>
      </c>
      <c r="P163" s="9" t="s">
        <v>31</v>
      </c>
      <c r="Q163" s="9" t="s">
        <v>32</v>
      </c>
      <c r="R163" s="9" t="s">
        <v>33</v>
      </c>
      <c r="S163" s="9">
        <v>4</v>
      </c>
      <c r="T163" s="9" t="s">
        <v>34</v>
      </c>
      <c r="U163" s="5">
        <v>10300</v>
      </c>
      <c r="V163">
        <f t="shared" si="6"/>
        <v>41200</v>
      </c>
      <c r="W163" s="10">
        <v>0.18</v>
      </c>
      <c r="X163" s="11">
        <f t="shared" si="7"/>
        <v>7416</v>
      </c>
      <c r="Y163">
        <v>0</v>
      </c>
      <c r="Z163" s="11">
        <f t="shared" si="8"/>
        <v>48616</v>
      </c>
    </row>
    <row r="164" spans="1:26" ht="60">
      <c r="A164" s="4">
        <v>46171</v>
      </c>
      <c r="B164" s="9" t="s">
        <v>237</v>
      </c>
      <c r="C164" s="9" t="s">
        <v>237</v>
      </c>
      <c r="D164" s="9" t="s">
        <v>237</v>
      </c>
      <c r="E164" s="9" t="s">
        <v>238</v>
      </c>
      <c r="F164" s="6" t="s">
        <v>26</v>
      </c>
      <c r="G164" s="5" t="s">
        <v>239</v>
      </c>
      <c r="H164" s="5" t="s">
        <v>239</v>
      </c>
      <c r="I164" s="7" t="s">
        <v>28</v>
      </c>
      <c r="J164" s="8" t="s">
        <v>29</v>
      </c>
      <c r="K164" s="4">
        <v>46171</v>
      </c>
      <c r="L164" s="5" t="s">
        <v>240</v>
      </c>
      <c r="M164" s="8"/>
      <c r="N164" s="8"/>
      <c r="O164" s="5">
        <v>382445</v>
      </c>
      <c r="P164" s="9" t="s">
        <v>57</v>
      </c>
      <c r="Q164" s="9" t="s">
        <v>236</v>
      </c>
      <c r="R164" s="9" t="s">
        <v>50</v>
      </c>
      <c r="S164" s="9">
        <v>1</v>
      </c>
      <c r="T164" s="9" t="s">
        <v>34</v>
      </c>
      <c r="U164" s="5">
        <v>31950</v>
      </c>
      <c r="V164">
        <f t="shared" si="6"/>
        <v>31950</v>
      </c>
      <c r="W164" s="10">
        <v>0.18</v>
      </c>
      <c r="X164" s="11">
        <f t="shared" si="7"/>
        <v>5751</v>
      </c>
      <c r="Y164">
        <v>0</v>
      </c>
      <c r="Z164" s="11">
        <f t="shared" si="8"/>
        <v>37701</v>
      </c>
    </row>
    <row r="165" spans="1:26" ht="60">
      <c r="A165" s="4">
        <v>46171</v>
      </c>
      <c r="B165" s="5" t="s">
        <v>241</v>
      </c>
      <c r="C165" s="5" t="s">
        <v>241</v>
      </c>
      <c r="D165" s="5" t="s">
        <v>85</v>
      </c>
      <c r="E165" s="5" t="s">
        <v>242</v>
      </c>
      <c r="F165" s="6" t="s">
        <v>26</v>
      </c>
      <c r="G165" s="5" t="s">
        <v>243</v>
      </c>
      <c r="H165" s="5" t="s">
        <v>243</v>
      </c>
      <c r="I165" s="7" t="s">
        <v>28</v>
      </c>
      <c r="J165" s="8" t="s">
        <v>29</v>
      </c>
      <c r="K165" s="4">
        <v>46171</v>
      </c>
      <c r="L165" s="5" t="s">
        <v>244</v>
      </c>
      <c r="M165" s="8"/>
      <c r="N165" s="8"/>
      <c r="O165" s="5">
        <v>380059</v>
      </c>
      <c r="P165" s="9" t="s">
        <v>31</v>
      </c>
      <c r="Q165" s="9" t="s">
        <v>245</v>
      </c>
      <c r="R165" s="9" t="s">
        <v>41</v>
      </c>
      <c r="S165" s="9">
        <v>46</v>
      </c>
      <c r="T165" s="9" t="s">
        <v>34</v>
      </c>
      <c r="U165" s="5">
        <v>2675</v>
      </c>
      <c r="V165">
        <f t="shared" si="6"/>
        <v>123050</v>
      </c>
      <c r="W165" s="10">
        <v>0.18</v>
      </c>
      <c r="X165" s="11">
        <f t="shared" si="7"/>
        <v>22149</v>
      </c>
      <c r="Y165">
        <v>0</v>
      </c>
      <c r="Z165" s="11">
        <f t="shared" si="8"/>
        <v>145199</v>
      </c>
    </row>
    <row r="166" spans="1:26" ht="30">
      <c r="A166" s="4">
        <v>46172</v>
      </c>
      <c r="B166" s="5" t="s">
        <v>84</v>
      </c>
      <c r="C166" s="5" t="s">
        <v>84</v>
      </c>
      <c r="D166" s="5" t="s">
        <v>85</v>
      </c>
      <c r="E166" s="5" t="s">
        <v>242</v>
      </c>
      <c r="F166" s="6" t="s">
        <v>26</v>
      </c>
      <c r="G166" s="5" t="s">
        <v>87</v>
      </c>
      <c r="H166" s="5" t="s">
        <v>87</v>
      </c>
      <c r="I166" s="7" t="s">
        <v>28</v>
      </c>
      <c r="J166" s="8" t="s">
        <v>29</v>
      </c>
      <c r="K166" s="4">
        <v>46172</v>
      </c>
      <c r="L166" s="5" t="s">
        <v>88</v>
      </c>
      <c r="M166" s="8"/>
      <c r="N166" s="8"/>
      <c r="O166" s="5">
        <v>380059</v>
      </c>
      <c r="P166" s="9" t="s">
        <v>31</v>
      </c>
      <c r="Q166" s="9" t="s">
        <v>46</v>
      </c>
      <c r="R166" s="9" t="s">
        <v>47</v>
      </c>
      <c r="S166" s="9">
        <v>2</v>
      </c>
      <c r="T166" s="9" t="s">
        <v>34</v>
      </c>
      <c r="U166" s="5">
        <v>27742</v>
      </c>
      <c r="V166">
        <f t="shared" si="6"/>
        <v>55484</v>
      </c>
      <c r="W166" s="10">
        <v>0.18</v>
      </c>
      <c r="X166" s="11">
        <f t="shared" si="7"/>
        <v>9987.1200000000008</v>
      </c>
      <c r="Y166">
        <v>0</v>
      </c>
      <c r="Z166" s="11">
        <f t="shared" si="8"/>
        <v>65471.12</v>
      </c>
    </row>
    <row r="167" spans="1:26" ht="75">
      <c r="A167" s="4">
        <v>46174</v>
      </c>
      <c r="B167" s="5" t="s">
        <v>246</v>
      </c>
      <c r="C167" s="5" t="s">
        <v>246</v>
      </c>
      <c r="D167" s="5" t="s">
        <v>246</v>
      </c>
      <c r="E167" s="5" t="s">
        <v>247</v>
      </c>
      <c r="F167" s="6" t="s">
        <v>26</v>
      </c>
      <c r="G167" s="5" t="s">
        <v>248</v>
      </c>
      <c r="H167" s="5" t="s">
        <v>248</v>
      </c>
      <c r="I167" s="7" t="s">
        <v>28</v>
      </c>
      <c r="J167" s="8" t="s">
        <v>29</v>
      </c>
      <c r="K167" s="4">
        <v>46174</v>
      </c>
      <c r="L167" s="5" t="s">
        <v>249</v>
      </c>
      <c r="M167" s="8"/>
      <c r="N167" s="8"/>
      <c r="O167" s="5">
        <v>361006</v>
      </c>
      <c r="P167" s="9" t="s">
        <v>31</v>
      </c>
      <c r="Q167" s="9" t="s">
        <v>32</v>
      </c>
      <c r="R167" s="9" t="s">
        <v>50</v>
      </c>
      <c r="S167" s="9">
        <v>3</v>
      </c>
      <c r="T167" s="9" t="s">
        <v>34</v>
      </c>
      <c r="U167" s="5">
        <v>0</v>
      </c>
      <c r="V167">
        <f t="shared" si="6"/>
        <v>0</v>
      </c>
      <c r="W167" s="10">
        <v>0.18</v>
      </c>
      <c r="X167" s="11">
        <f t="shared" si="7"/>
        <v>0</v>
      </c>
      <c r="Y167">
        <v>0</v>
      </c>
      <c r="Z167" s="11">
        <f t="shared" si="8"/>
        <v>0</v>
      </c>
    </row>
    <row r="168" spans="1:26" ht="75">
      <c r="A168" s="4">
        <v>46059</v>
      </c>
      <c r="B168" s="5" t="s">
        <v>250</v>
      </c>
      <c r="C168" s="5" t="s">
        <v>250</v>
      </c>
      <c r="D168" s="5" t="s">
        <v>250</v>
      </c>
      <c r="E168" s="5" t="s">
        <v>251</v>
      </c>
      <c r="F168" s="6" t="s">
        <v>26</v>
      </c>
      <c r="G168" s="5" t="s">
        <v>252</v>
      </c>
      <c r="H168" s="5" t="s">
        <v>252</v>
      </c>
      <c r="I168" s="7" t="s">
        <v>28</v>
      </c>
      <c r="J168" s="8" t="s">
        <v>29</v>
      </c>
      <c r="K168" s="4">
        <v>46059</v>
      </c>
      <c r="L168" s="5" t="s">
        <v>253</v>
      </c>
      <c r="M168" s="8"/>
      <c r="N168" s="8"/>
      <c r="O168" s="5">
        <v>395004</v>
      </c>
      <c r="P168" s="9" t="s">
        <v>31</v>
      </c>
      <c r="Q168" s="9" t="s">
        <v>236</v>
      </c>
      <c r="R168" s="9" t="s">
        <v>50</v>
      </c>
      <c r="S168" s="9">
        <v>1</v>
      </c>
      <c r="T168" s="9" t="s">
        <v>254</v>
      </c>
      <c r="U168" s="5">
        <v>17880</v>
      </c>
      <c r="V168">
        <f t="shared" si="6"/>
        <v>17880</v>
      </c>
      <c r="W168" s="10">
        <v>0.18</v>
      </c>
      <c r="X168" s="11">
        <f t="shared" si="7"/>
        <v>3218.4</v>
      </c>
      <c r="Y168">
        <v>0</v>
      </c>
      <c r="Z168" s="11">
        <f t="shared" si="8"/>
        <v>21098.400000000001</v>
      </c>
    </row>
    <row r="169" spans="1:26" ht="75">
      <c r="A169" s="4">
        <v>46118</v>
      </c>
      <c r="B169" s="5" t="s">
        <v>35</v>
      </c>
      <c r="C169" s="5" t="s">
        <v>35</v>
      </c>
      <c r="D169" s="5" t="s">
        <v>36</v>
      </c>
      <c r="E169" s="5" t="s">
        <v>37</v>
      </c>
      <c r="F169" s="6" t="s">
        <v>26</v>
      </c>
      <c r="G169" s="5" t="s">
        <v>38</v>
      </c>
      <c r="H169" s="5" t="s">
        <v>38</v>
      </c>
      <c r="I169" s="7" t="s">
        <v>28</v>
      </c>
      <c r="J169" s="8" t="s">
        <v>29</v>
      </c>
      <c r="K169" s="4">
        <v>46118</v>
      </c>
      <c r="L169" s="5" t="s">
        <v>39</v>
      </c>
      <c r="M169" s="8"/>
      <c r="N169" s="8"/>
      <c r="O169" s="5">
        <v>380060</v>
      </c>
      <c r="P169" s="9" t="s">
        <v>58</v>
      </c>
      <c r="Q169" s="9" t="s">
        <v>32</v>
      </c>
      <c r="R169" s="9" t="s">
        <v>33</v>
      </c>
      <c r="S169" s="9">
        <v>8</v>
      </c>
      <c r="T169" s="9" t="s">
        <v>67</v>
      </c>
      <c r="U169" s="5">
        <v>13400</v>
      </c>
      <c r="V169">
        <f t="shared" si="6"/>
        <v>107200</v>
      </c>
      <c r="W169" s="10">
        <v>0.18</v>
      </c>
      <c r="X169" s="11">
        <f t="shared" si="7"/>
        <v>19296</v>
      </c>
      <c r="Y169">
        <v>0</v>
      </c>
      <c r="Z169" s="11">
        <f t="shared" si="8"/>
        <v>126496</v>
      </c>
    </row>
    <row r="170" spans="1:26" ht="75">
      <c r="A170" s="4">
        <v>46118</v>
      </c>
      <c r="B170" s="5" t="s">
        <v>35</v>
      </c>
      <c r="C170" s="5" t="s">
        <v>35</v>
      </c>
      <c r="D170" s="5" t="s">
        <v>36</v>
      </c>
      <c r="E170" s="5" t="s">
        <v>37</v>
      </c>
      <c r="F170" s="6" t="s">
        <v>26</v>
      </c>
      <c r="G170" s="5" t="s">
        <v>38</v>
      </c>
      <c r="H170" s="5" t="s">
        <v>38</v>
      </c>
      <c r="I170" s="7" t="s">
        <v>28</v>
      </c>
      <c r="J170" s="8" t="s">
        <v>29</v>
      </c>
      <c r="K170" s="4">
        <v>46118</v>
      </c>
      <c r="L170" s="5" t="s">
        <v>39</v>
      </c>
      <c r="M170" s="8"/>
      <c r="N170" s="8"/>
      <c r="O170" s="5">
        <v>380060</v>
      </c>
      <c r="P170" s="9" t="s">
        <v>58</v>
      </c>
      <c r="Q170" s="9" t="s">
        <v>121</v>
      </c>
      <c r="R170" s="9" t="s">
        <v>33</v>
      </c>
      <c r="S170" s="9">
        <v>8</v>
      </c>
      <c r="T170" s="9" t="s">
        <v>67</v>
      </c>
      <c r="U170" s="5">
        <v>19400</v>
      </c>
      <c r="V170">
        <f t="shared" si="6"/>
        <v>155200</v>
      </c>
      <c r="W170" s="10">
        <v>0.18</v>
      </c>
      <c r="X170" s="11">
        <f t="shared" si="7"/>
        <v>27936</v>
      </c>
      <c r="Y170">
        <v>0</v>
      </c>
      <c r="Z170" s="11">
        <f t="shared" si="8"/>
        <v>183136</v>
      </c>
    </row>
    <row r="171" spans="1:26" ht="30">
      <c r="A171" s="4">
        <v>46118</v>
      </c>
      <c r="B171" s="5" t="s">
        <v>255</v>
      </c>
      <c r="C171" s="5" t="s">
        <v>255</v>
      </c>
      <c r="D171" s="5" t="s">
        <v>255</v>
      </c>
      <c r="E171" s="5" t="s">
        <v>256</v>
      </c>
      <c r="F171" s="6" t="s">
        <v>26</v>
      </c>
      <c r="G171" s="5" t="s">
        <v>257</v>
      </c>
      <c r="H171" s="5" t="s">
        <v>257</v>
      </c>
      <c r="I171" s="7" t="s">
        <v>28</v>
      </c>
      <c r="J171" s="8" t="s">
        <v>29</v>
      </c>
      <c r="K171" s="4">
        <v>46118</v>
      </c>
      <c r="L171" s="5" t="s">
        <v>258</v>
      </c>
      <c r="M171" s="8"/>
      <c r="N171" s="8"/>
      <c r="O171" s="5">
        <v>600060</v>
      </c>
      <c r="P171" s="9" t="s">
        <v>31</v>
      </c>
      <c r="Q171" s="9" t="s">
        <v>231</v>
      </c>
      <c r="R171" s="9" t="s">
        <v>47</v>
      </c>
      <c r="S171" s="9">
        <v>41</v>
      </c>
      <c r="T171" s="9" t="s">
        <v>34</v>
      </c>
      <c r="U171" s="5">
        <v>11500</v>
      </c>
      <c r="V171">
        <f t="shared" ref="V171:V220" si="9">U171*S171</f>
        <v>471500</v>
      </c>
      <c r="W171" s="10">
        <v>0.18</v>
      </c>
      <c r="X171" s="11">
        <f t="shared" ref="X171:X220" si="10">V171*W171</f>
        <v>84870</v>
      </c>
      <c r="Y171">
        <v>0</v>
      </c>
      <c r="Z171" s="11">
        <f t="shared" ref="Z171:Z220" si="11">V171+X171</f>
        <v>556370</v>
      </c>
    </row>
    <row r="172" spans="1:26" ht="75">
      <c r="A172" s="4">
        <v>46148</v>
      </c>
      <c r="B172" s="5" t="s">
        <v>117</v>
      </c>
      <c r="C172" s="5" t="s">
        <v>117</v>
      </c>
      <c r="D172" s="5" t="s">
        <v>117</v>
      </c>
      <c r="E172" s="5" t="s">
        <v>118</v>
      </c>
      <c r="F172" s="6" t="s">
        <v>26</v>
      </c>
      <c r="G172" s="5" t="s">
        <v>119</v>
      </c>
      <c r="H172" s="5" t="s">
        <v>119</v>
      </c>
      <c r="I172" s="7" t="s">
        <v>28</v>
      </c>
      <c r="J172" s="8" t="s">
        <v>29</v>
      </c>
      <c r="K172" s="4">
        <v>46148</v>
      </c>
      <c r="L172" s="5" t="s">
        <v>259</v>
      </c>
      <c r="M172" s="8"/>
      <c r="N172" s="8"/>
      <c r="O172" s="5">
        <v>390020</v>
      </c>
      <c r="P172" s="9" t="s">
        <v>31</v>
      </c>
      <c r="Q172" s="9" t="s">
        <v>32</v>
      </c>
      <c r="R172" s="9" t="s">
        <v>47</v>
      </c>
      <c r="S172" s="9">
        <v>20</v>
      </c>
      <c r="T172" s="9" t="s">
        <v>34</v>
      </c>
      <c r="U172" s="5">
        <v>9720</v>
      </c>
      <c r="V172">
        <f t="shared" si="9"/>
        <v>194400</v>
      </c>
      <c r="W172" s="10">
        <v>0.18</v>
      </c>
      <c r="X172" s="11">
        <f t="shared" si="10"/>
        <v>34992</v>
      </c>
      <c r="Y172">
        <v>0</v>
      </c>
      <c r="Z172" s="11">
        <f t="shared" si="11"/>
        <v>229392</v>
      </c>
    </row>
    <row r="173" spans="1:26" ht="60">
      <c r="A173" s="4">
        <v>46178</v>
      </c>
      <c r="B173" s="5" t="s">
        <v>35</v>
      </c>
      <c r="C173" s="5" t="s">
        <v>35</v>
      </c>
      <c r="D173" s="5" t="s">
        <v>123</v>
      </c>
      <c r="E173" s="5" t="s">
        <v>124</v>
      </c>
      <c r="F173" s="6" t="s">
        <v>26</v>
      </c>
      <c r="G173" s="5" t="s">
        <v>125</v>
      </c>
      <c r="H173" s="5" t="s">
        <v>125</v>
      </c>
      <c r="I173" s="7" t="s">
        <v>28</v>
      </c>
      <c r="J173" s="8" t="s">
        <v>29</v>
      </c>
      <c r="K173" s="4">
        <v>46178</v>
      </c>
      <c r="L173" s="5" t="s">
        <v>126</v>
      </c>
      <c r="M173" s="8"/>
      <c r="N173" s="8"/>
      <c r="O173" s="5">
        <v>380060</v>
      </c>
      <c r="P173" s="9" t="s">
        <v>57</v>
      </c>
      <c r="Q173" s="9" t="s">
        <v>52</v>
      </c>
      <c r="R173" s="9" t="s">
        <v>41</v>
      </c>
      <c r="S173" s="9">
        <v>1</v>
      </c>
      <c r="T173" s="9" t="s">
        <v>34</v>
      </c>
      <c r="U173" s="5">
        <v>5350</v>
      </c>
      <c r="V173">
        <f t="shared" si="9"/>
        <v>5350</v>
      </c>
      <c r="W173" s="10">
        <v>0.18</v>
      </c>
      <c r="X173" s="11">
        <f t="shared" si="10"/>
        <v>963</v>
      </c>
      <c r="Y173">
        <v>0</v>
      </c>
      <c r="Z173" s="11">
        <f t="shared" si="11"/>
        <v>6313</v>
      </c>
    </row>
    <row r="174" spans="1:26" ht="60">
      <c r="A174" s="4">
        <v>46148</v>
      </c>
      <c r="B174" s="5" t="s">
        <v>35</v>
      </c>
      <c r="C174" s="5" t="s">
        <v>35</v>
      </c>
      <c r="D174" s="5" t="s">
        <v>123</v>
      </c>
      <c r="E174" s="5" t="s">
        <v>124</v>
      </c>
      <c r="F174" s="6" t="s">
        <v>26</v>
      </c>
      <c r="G174" s="5" t="s">
        <v>125</v>
      </c>
      <c r="H174" s="5" t="s">
        <v>125</v>
      </c>
      <c r="I174" s="7" t="s">
        <v>28</v>
      </c>
      <c r="J174" s="8" t="s">
        <v>29</v>
      </c>
      <c r="K174" s="4">
        <v>46148</v>
      </c>
      <c r="L174" s="5" t="s">
        <v>126</v>
      </c>
      <c r="M174" s="8"/>
      <c r="N174" s="8"/>
      <c r="O174" s="5">
        <v>380060</v>
      </c>
      <c r="P174" s="9" t="s">
        <v>57</v>
      </c>
      <c r="Q174" s="9" t="s">
        <v>51</v>
      </c>
      <c r="R174" s="9" t="s">
        <v>90</v>
      </c>
      <c r="S174" s="9">
        <v>16</v>
      </c>
      <c r="T174" s="9" t="s">
        <v>189</v>
      </c>
      <c r="U174" s="5">
        <v>9250</v>
      </c>
      <c r="V174">
        <f t="shared" si="9"/>
        <v>148000</v>
      </c>
      <c r="W174" s="10">
        <v>0.18</v>
      </c>
      <c r="X174" s="11">
        <f t="shared" si="10"/>
        <v>26640</v>
      </c>
      <c r="Y174">
        <v>0</v>
      </c>
      <c r="Z174" s="11">
        <f t="shared" si="11"/>
        <v>174640</v>
      </c>
    </row>
    <row r="175" spans="1:26" ht="60">
      <c r="A175" s="4">
        <v>46178</v>
      </c>
      <c r="B175" s="5" t="s">
        <v>35</v>
      </c>
      <c r="C175" s="5" t="s">
        <v>35</v>
      </c>
      <c r="D175" s="5" t="s">
        <v>123</v>
      </c>
      <c r="E175" s="5" t="s">
        <v>124</v>
      </c>
      <c r="F175" s="6" t="s">
        <v>26</v>
      </c>
      <c r="G175" s="5" t="s">
        <v>125</v>
      </c>
      <c r="H175" s="5" t="s">
        <v>125</v>
      </c>
      <c r="I175" s="7" t="s">
        <v>28</v>
      </c>
      <c r="J175" s="8" t="s">
        <v>29</v>
      </c>
      <c r="K175" s="4">
        <v>46178</v>
      </c>
      <c r="L175" s="5" t="s">
        <v>126</v>
      </c>
      <c r="M175" s="8"/>
      <c r="N175" s="8"/>
      <c r="O175" s="5">
        <v>380060</v>
      </c>
      <c r="P175" s="9" t="s">
        <v>31</v>
      </c>
      <c r="Q175" s="9" t="s">
        <v>32</v>
      </c>
      <c r="R175" s="9" t="s">
        <v>50</v>
      </c>
      <c r="S175" s="9">
        <v>1</v>
      </c>
      <c r="T175" s="9" t="s">
        <v>34</v>
      </c>
      <c r="U175" s="5">
        <v>12550</v>
      </c>
      <c r="V175">
        <f t="shared" si="9"/>
        <v>12550</v>
      </c>
      <c r="W175" s="10">
        <v>0.18</v>
      </c>
      <c r="X175" s="11">
        <f t="shared" si="10"/>
        <v>2259</v>
      </c>
      <c r="Y175">
        <v>0</v>
      </c>
      <c r="Z175" s="11">
        <f t="shared" si="11"/>
        <v>14809</v>
      </c>
    </row>
    <row r="176" spans="1:26" ht="60">
      <c r="A176" s="4">
        <v>46178</v>
      </c>
      <c r="B176" s="5" t="s">
        <v>35</v>
      </c>
      <c r="C176" s="5" t="s">
        <v>35</v>
      </c>
      <c r="D176" s="5" t="s">
        <v>123</v>
      </c>
      <c r="E176" s="5" t="s">
        <v>124</v>
      </c>
      <c r="F176" s="6" t="s">
        <v>26</v>
      </c>
      <c r="G176" s="5" t="s">
        <v>125</v>
      </c>
      <c r="H176" s="5" t="s">
        <v>125</v>
      </c>
      <c r="I176" s="7" t="s">
        <v>28</v>
      </c>
      <c r="J176" s="8" t="s">
        <v>29</v>
      </c>
      <c r="K176" s="4">
        <v>46178</v>
      </c>
      <c r="L176" s="5" t="s">
        <v>126</v>
      </c>
      <c r="M176" s="8"/>
      <c r="N176" s="8"/>
      <c r="O176" s="5">
        <v>380060</v>
      </c>
      <c r="P176" s="9" t="s">
        <v>31</v>
      </c>
      <c r="Q176" s="9" t="s">
        <v>121</v>
      </c>
      <c r="R176" s="9" t="s">
        <v>50</v>
      </c>
      <c r="S176" s="9">
        <v>1</v>
      </c>
      <c r="T176" s="9" t="s">
        <v>34</v>
      </c>
      <c r="U176" s="5">
        <v>17500</v>
      </c>
      <c r="V176">
        <f t="shared" si="9"/>
        <v>17500</v>
      </c>
      <c r="W176" s="10">
        <v>0.18</v>
      </c>
      <c r="X176" s="11">
        <f t="shared" si="10"/>
        <v>3150</v>
      </c>
      <c r="Y176">
        <v>0</v>
      </c>
      <c r="Z176" s="11">
        <f t="shared" si="11"/>
        <v>20650</v>
      </c>
    </row>
    <row r="177" spans="1:26" ht="60">
      <c r="A177" s="4">
        <v>46178</v>
      </c>
      <c r="B177" s="5" t="s">
        <v>35</v>
      </c>
      <c r="C177" s="5" t="s">
        <v>35</v>
      </c>
      <c r="D177" s="5" t="s">
        <v>123</v>
      </c>
      <c r="E177" s="5" t="s">
        <v>124</v>
      </c>
      <c r="F177" s="6" t="s">
        <v>26</v>
      </c>
      <c r="G177" s="5" t="s">
        <v>125</v>
      </c>
      <c r="H177" s="5" t="s">
        <v>125</v>
      </c>
      <c r="I177" s="7" t="s">
        <v>28</v>
      </c>
      <c r="J177" s="8" t="s">
        <v>29</v>
      </c>
      <c r="K177" s="4">
        <v>46178</v>
      </c>
      <c r="L177" s="5" t="s">
        <v>126</v>
      </c>
      <c r="M177" s="8"/>
      <c r="N177" s="8"/>
      <c r="O177" s="5">
        <v>380060</v>
      </c>
      <c r="P177" s="9" t="s">
        <v>31</v>
      </c>
      <c r="Q177" s="9" t="s">
        <v>48</v>
      </c>
      <c r="R177" s="9" t="s">
        <v>50</v>
      </c>
      <c r="S177" s="9">
        <v>1</v>
      </c>
      <c r="T177" s="9" t="s">
        <v>34</v>
      </c>
      <c r="U177" s="5">
        <v>9150</v>
      </c>
      <c r="V177">
        <f t="shared" si="9"/>
        <v>9150</v>
      </c>
      <c r="W177" s="10">
        <v>0.18</v>
      </c>
      <c r="X177" s="11">
        <f t="shared" si="10"/>
        <v>1647</v>
      </c>
      <c r="Y177">
        <v>0</v>
      </c>
      <c r="Z177" s="11">
        <f t="shared" si="11"/>
        <v>10797</v>
      </c>
    </row>
    <row r="178" spans="1:26" ht="60">
      <c r="A178" s="4">
        <v>46178</v>
      </c>
      <c r="B178" s="5" t="s">
        <v>35</v>
      </c>
      <c r="C178" s="5" t="s">
        <v>35</v>
      </c>
      <c r="D178" s="5" t="s">
        <v>123</v>
      </c>
      <c r="E178" s="5" t="s">
        <v>124</v>
      </c>
      <c r="F178" s="6" t="s">
        <v>26</v>
      </c>
      <c r="G178" s="5" t="s">
        <v>125</v>
      </c>
      <c r="H178" s="5" t="s">
        <v>125</v>
      </c>
      <c r="I178" s="7" t="s">
        <v>28</v>
      </c>
      <c r="J178" s="8" t="s">
        <v>29</v>
      </c>
      <c r="K178" s="4">
        <v>46178</v>
      </c>
      <c r="L178" s="5" t="s">
        <v>126</v>
      </c>
      <c r="M178" s="8"/>
      <c r="N178" s="8"/>
      <c r="O178" s="5">
        <v>380060</v>
      </c>
      <c r="P178" s="9" t="s">
        <v>57</v>
      </c>
      <c r="Q178" s="9" t="s">
        <v>48</v>
      </c>
      <c r="R178" s="9" t="s">
        <v>50</v>
      </c>
      <c r="S178" s="9">
        <v>1</v>
      </c>
      <c r="T178" s="9" t="s">
        <v>34</v>
      </c>
      <c r="U178" s="5">
        <v>9300</v>
      </c>
      <c r="V178">
        <f t="shared" si="9"/>
        <v>9300</v>
      </c>
      <c r="W178" s="10">
        <v>0.18</v>
      </c>
      <c r="X178" s="11">
        <f t="shared" si="10"/>
        <v>1674</v>
      </c>
      <c r="Y178">
        <v>0</v>
      </c>
      <c r="Z178" s="11">
        <f t="shared" si="11"/>
        <v>10974</v>
      </c>
    </row>
    <row r="179" spans="1:26" ht="60">
      <c r="A179" s="4">
        <v>46178</v>
      </c>
      <c r="B179" s="5" t="s">
        <v>35</v>
      </c>
      <c r="C179" s="5" t="s">
        <v>35</v>
      </c>
      <c r="D179" s="5" t="s">
        <v>123</v>
      </c>
      <c r="E179" s="5" t="s">
        <v>124</v>
      </c>
      <c r="F179" s="6" t="s">
        <v>26</v>
      </c>
      <c r="G179" s="5" t="s">
        <v>125</v>
      </c>
      <c r="H179" s="5" t="s">
        <v>125</v>
      </c>
      <c r="I179" s="7" t="s">
        <v>28</v>
      </c>
      <c r="J179" s="8" t="s">
        <v>29</v>
      </c>
      <c r="K179" s="4">
        <v>46178</v>
      </c>
      <c r="L179" s="5" t="s">
        <v>126</v>
      </c>
      <c r="M179" s="8"/>
      <c r="N179" s="8"/>
      <c r="O179" s="5">
        <v>380060</v>
      </c>
      <c r="P179" s="9" t="s">
        <v>57</v>
      </c>
      <c r="Q179" s="9" t="s">
        <v>32</v>
      </c>
      <c r="R179" s="9" t="s">
        <v>50</v>
      </c>
      <c r="S179" s="9">
        <v>1</v>
      </c>
      <c r="T179" s="9" t="s">
        <v>34</v>
      </c>
      <c r="U179" s="5">
        <v>13350</v>
      </c>
      <c r="V179">
        <f t="shared" si="9"/>
        <v>13350</v>
      </c>
      <c r="W179" s="10">
        <v>0.18</v>
      </c>
      <c r="X179" s="11">
        <f t="shared" si="10"/>
        <v>2403</v>
      </c>
      <c r="Y179">
        <v>0</v>
      </c>
      <c r="Z179" s="11">
        <f t="shared" si="11"/>
        <v>15753</v>
      </c>
    </row>
    <row r="180" spans="1:26" ht="60">
      <c r="A180" s="4">
        <v>46178</v>
      </c>
      <c r="B180" s="5" t="s">
        <v>35</v>
      </c>
      <c r="C180" s="5" t="s">
        <v>35</v>
      </c>
      <c r="D180" s="5" t="s">
        <v>123</v>
      </c>
      <c r="E180" s="5" t="s">
        <v>124</v>
      </c>
      <c r="F180" s="6" t="s">
        <v>26</v>
      </c>
      <c r="G180" s="5" t="s">
        <v>125</v>
      </c>
      <c r="H180" s="5" t="s">
        <v>125</v>
      </c>
      <c r="I180" s="7" t="s">
        <v>28</v>
      </c>
      <c r="J180" s="8" t="s">
        <v>29</v>
      </c>
      <c r="K180" s="4">
        <v>46178</v>
      </c>
      <c r="L180" s="5" t="s">
        <v>126</v>
      </c>
      <c r="M180" s="8"/>
      <c r="N180" s="8"/>
      <c r="O180" s="5">
        <v>380060</v>
      </c>
      <c r="P180" s="9" t="s">
        <v>58</v>
      </c>
      <c r="Q180" s="9" t="s">
        <v>32</v>
      </c>
      <c r="R180" s="9" t="s">
        <v>50</v>
      </c>
      <c r="S180" s="9">
        <v>1</v>
      </c>
      <c r="T180" s="9" t="s">
        <v>67</v>
      </c>
      <c r="U180" s="5">
        <v>15650</v>
      </c>
      <c r="V180">
        <f t="shared" si="9"/>
        <v>15650</v>
      </c>
      <c r="W180" s="10">
        <v>0.18</v>
      </c>
      <c r="X180" s="11">
        <f t="shared" si="10"/>
        <v>2817</v>
      </c>
      <c r="Y180">
        <v>0</v>
      </c>
      <c r="Z180" s="11">
        <f t="shared" si="11"/>
        <v>18467</v>
      </c>
    </row>
    <row r="181" spans="1:26" ht="75">
      <c r="A181" s="4">
        <v>46179</v>
      </c>
      <c r="B181" s="5" t="s">
        <v>79</v>
      </c>
      <c r="C181" s="5" t="s">
        <v>79</v>
      </c>
      <c r="D181" s="5" t="s">
        <v>79</v>
      </c>
      <c r="E181" s="5" t="s">
        <v>80</v>
      </c>
      <c r="F181" s="6" t="s">
        <v>26</v>
      </c>
      <c r="G181" s="5" t="s">
        <v>81</v>
      </c>
      <c r="H181" s="5" t="s">
        <v>81</v>
      </c>
      <c r="I181" s="7" t="s">
        <v>28</v>
      </c>
      <c r="J181" s="8" t="s">
        <v>29</v>
      </c>
      <c r="K181" s="4">
        <v>46179</v>
      </c>
      <c r="L181" s="5" t="s">
        <v>82</v>
      </c>
      <c r="M181" s="8"/>
      <c r="N181" s="8"/>
      <c r="O181" s="5">
        <v>371004</v>
      </c>
      <c r="P181" s="9" t="s">
        <v>31</v>
      </c>
      <c r="Q181" s="9" t="s">
        <v>72</v>
      </c>
      <c r="R181" s="9" t="s">
        <v>50</v>
      </c>
      <c r="S181" s="9">
        <v>2</v>
      </c>
      <c r="T181" s="9" t="s">
        <v>34</v>
      </c>
      <c r="U181" s="5">
        <v>17880</v>
      </c>
      <c r="V181">
        <f t="shared" si="9"/>
        <v>35760</v>
      </c>
      <c r="W181" s="10">
        <v>0.18</v>
      </c>
      <c r="X181" s="11">
        <f t="shared" si="10"/>
        <v>6436.8</v>
      </c>
      <c r="Y181">
        <v>0</v>
      </c>
      <c r="Z181" s="11">
        <f t="shared" si="11"/>
        <v>42196.800000000003</v>
      </c>
    </row>
    <row r="182" spans="1:26" ht="75">
      <c r="A182" s="4">
        <v>46179</v>
      </c>
      <c r="B182" s="5" t="s">
        <v>79</v>
      </c>
      <c r="C182" s="5" t="s">
        <v>79</v>
      </c>
      <c r="D182" s="5" t="s">
        <v>79</v>
      </c>
      <c r="E182" s="5" t="s">
        <v>80</v>
      </c>
      <c r="F182" s="6" t="s">
        <v>26</v>
      </c>
      <c r="G182" s="5" t="s">
        <v>81</v>
      </c>
      <c r="H182" s="5" t="s">
        <v>81</v>
      </c>
      <c r="I182" s="7" t="s">
        <v>28</v>
      </c>
      <c r="J182" s="8" t="s">
        <v>29</v>
      </c>
      <c r="K182" s="4">
        <v>46179</v>
      </c>
      <c r="L182" s="5" t="s">
        <v>82</v>
      </c>
      <c r="M182" s="8"/>
      <c r="N182" s="8"/>
      <c r="O182" s="5">
        <v>371004</v>
      </c>
      <c r="P182" s="9" t="s">
        <v>31</v>
      </c>
      <c r="Q182" s="9" t="s">
        <v>32</v>
      </c>
      <c r="R182" s="9" t="s">
        <v>41</v>
      </c>
      <c r="S182" s="9">
        <v>4</v>
      </c>
      <c r="T182" s="9" t="s">
        <v>34</v>
      </c>
      <c r="U182" s="5">
        <v>4170</v>
      </c>
      <c r="V182">
        <f t="shared" si="9"/>
        <v>16680</v>
      </c>
      <c r="W182" s="10">
        <v>0.18</v>
      </c>
      <c r="X182" s="11">
        <f t="shared" si="10"/>
        <v>3002.4</v>
      </c>
      <c r="Y182">
        <v>0</v>
      </c>
      <c r="Z182" s="11">
        <f t="shared" si="11"/>
        <v>19682.400000000001</v>
      </c>
    </row>
    <row r="183" spans="1:26" ht="75">
      <c r="A183" s="4">
        <v>46179</v>
      </c>
      <c r="B183" s="5" t="s">
        <v>246</v>
      </c>
      <c r="C183" s="5" t="s">
        <v>246</v>
      </c>
      <c r="D183" s="5" t="s">
        <v>246</v>
      </c>
      <c r="E183" s="5" t="s">
        <v>247</v>
      </c>
      <c r="F183" s="6" t="s">
        <v>26</v>
      </c>
      <c r="G183" s="5" t="s">
        <v>248</v>
      </c>
      <c r="H183" s="5" t="s">
        <v>248</v>
      </c>
      <c r="I183" s="7" t="s">
        <v>28</v>
      </c>
      <c r="J183" s="8" t="s">
        <v>29</v>
      </c>
      <c r="K183" s="4">
        <v>46179</v>
      </c>
      <c r="L183" s="5" t="s">
        <v>249</v>
      </c>
      <c r="M183" s="8"/>
      <c r="N183" s="8"/>
      <c r="O183" s="5">
        <v>361006</v>
      </c>
      <c r="P183" s="9" t="s">
        <v>143</v>
      </c>
      <c r="Q183" s="9" t="s">
        <v>32</v>
      </c>
      <c r="R183" s="9" t="s">
        <v>50</v>
      </c>
      <c r="S183" s="9">
        <v>3</v>
      </c>
      <c r="T183" s="9" t="s">
        <v>34</v>
      </c>
      <c r="U183" s="5">
        <v>4374</v>
      </c>
      <c r="V183">
        <f t="shared" si="9"/>
        <v>13122</v>
      </c>
      <c r="W183" s="10">
        <v>0.18</v>
      </c>
      <c r="X183" s="11">
        <f t="shared" si="10"/>
        <v>2361.96</v>
      </c>
      <c r="Y183">
        <v>0</v>
      </c>
      <c r="Z183" s="11">
        <f t="shared" si="11"/>
        <v>15483.96</v>
      </c>
    </row>
    <row r="184" spans="1:26" ht="75">
      <c r="A184" s="4">
        <v>46179</v>
      </c>
      <c r="B184" s="5" t="s">
        <v>246</v>
      </c>
      <c r="C184" s="5" t="s">
        <v>246</v>
      </c>
      <c r="D184" s="5" t="s">
        <v>246</v>
      </c>
      <c r="E184" s="5" t="s">
        <v>247</v>
      </c>
      <c r="F184" s="6" t="s">
        <v>26</v>
      </c>
      <c r="G184" s="5" t="s">
        <v>248</v>
      </c>
      <c r="H184" s="5" t="s">
        <v>248</v>
      </c>
      <c r="I184" s="7" t="s">
        <v>28</v>
      </c>
      <c r="J184" s="8" t="s">
        <v>29</v>
      </c>
      <c r="K184" s="4">
        <v>46179</v>
      </c>
      <c r="L184" s="5" t="s">
        <v>249</v>
      </c>
      <c r="M184" s="8"/>
      <c r="N184" s="8"/>
      <c r="O184" s="5">
        <v>361006</v>
      </c>
      <c r="P184" s="9" t="s">
        <v>31</v>
      </c>
      <c r="Q184" s="9" t="s">
        <v>72</v>
      </c>
      <c r="R184" s="9" t="s">
        <v>41</v>
      </c>
      <c r="S184" s="9">
        <v>3</v>
      </c>
      <c r="T184" s="9" t="s">
        <v>34</v>
      </c>
      <c r="U184" s="5">
        <v>13110</v>
      </c>
      <c r="V184">
        <f t="shared" si="9"/>
        <v>39330</v>
      </c>
      <c r="W184" s="10">
        <v>0.18</v>
      </c>
      <c r="X184" s="11">
        <f t="shared" si="10"/>
        <v>7079.4</v>
      </c>
      <c r="Y184">
        <v>0</v>
      </c>
      <c r="Z184" s="11">
        <f t="shared" si="11"/>
        <v>46409.4</v>
      </c>
    </row>
    <row r="185" spans="1:26" ht="75">
      <c r="A185" s="4">
        <v>46179</v>
      </c>
      <c r="B185" s="5" t="s">
        <v>246</v>
      </c>
      <c r="C185" s="5" t="s">
        <v>246</v>
      </c>
      <c r="D185" s="5" t="s">
        <v>246</v>
      </c>
      <c r="E185" s="5" t="s">
        <v>247</v>
      </c>
      <c r="F185" s="6" t="s">
        <v>26</v>
      </c>
      <c r="G185" s="5" t="s">
        <v>248</v>
      </c>
      <c r="H185" s="5" t="s">
        <v>248</v>
      </c>
      <c r="I185" s="7" t="s">
        <v>28</v>
      </c>
      <c r="J185" s="8" t="s">
        <v>29</v>
      </c>
      <c r="K185" s="4">
        <v>46179</v>
      </c>
      <c r="L185" s="5" t="s">
        <v>249</v>
      </c>
      <c r="M185" s="8"/>
      <c r="N185" s="8"/>
      <c r="O185" s="5">
        <v>361006</v>
      </c>
      <c r="P185" s="9" t="s">
        <v>31</v>
      </c>
      <c r="Q185" s="9" t="s">
        <v>72</v>
      </c>
      <c r="R185" s="9" t="s">
        <v>50</v>
      </c>
      <c r="S185" s="9">
        <v>10</v>
      </c>
      <c r="T185" s="9" t="s">
        <v>34</v>
      </c>
      <c r="U185" s="5">
        <v>17880</v>
      </c>
      <c r="V185">
        <f t="shared" si="9"/>
        <v>178800</v>
      </c>
      <c r="W185" s="10">
        <v>0.18</v>
      </c>
      <c r="X185" s="11">
        <f t="shared" si="10"/>
        <v>32184</v>
      </c>
      <c r="Y185">
        <v>0</v>
      </c>
      <c r="Z185" s="11">
        <f t="shared" si="11"/>
        <v>210984</v>
      </c>
    </row>
    <row r="186" spans="1:26" ht="75">
      <c r="A186" s="4">
        <v>46179</v>
      </c>
      <c r="B186" s="5" t="s">
        <v>246</v>
      </c>
      <c r="C186" s="5" t="s">
        <v>246</v>
      </c>
      <c r="D186" s="5" t="s">
        <v>246</v>
      </c>
      <c r="E186" s="5" t="s">
        <v>247</v>
      </c>
      <c r="F186" s="6" t="s">
        <v>26</v>
      </c>
      <c r="G186" s="5" t="s">
        <v>248</v>
      </c>
      <c r="H186" s="5" t="s">
        <v>248</v>
      </c>
      <c r="I186" s="7" t="s">
        <v>28</v>
      </c>
      <c r="J186" s="8" t="s">
        <v>29</v>
      </c>
      <c r="K186" s="4">
        <v>46179</v>
      </c>
      <c r="L186" s="5" t="s">
        <v>249</v>
      </c>
      <c r="M186" s="8"/>
      <c r="N186" s="8"/>
      <c r="O186" s="5">
        <v>361006</v>
      </c>
      <c r="P186" s="9" t="s">
        <v>31</v>
      </c>
      <c r="Q186" s="9" t="s">
        <v>229</v>
      </c>
      <c r="R186" s="9" t="s">
        <v>50</v>
      </c>
      <c r="S186" s="9">
        <v>1</v>
      </c>
      <c r="T186" s="9" t="s">
        <v>34</v>
      </c>
      <c r="U186" s="5">
        <v>29460</v>
      </c>
      <c r="V186">
        <f t="shared" si="9"/>
        <v>29460</v>
      </c>
      <c r="W186" s="10">
        <v>0.18</v>
      </c>
      <c r="X186" s="11">
        <f t="shared" si="10"/>
        <v>5302.8</v>
      </c>
      <c r="Y186">
        <v>0</v>
      </c>
      <c r="Z186" s="11">
        <f t="shared" si="11"/>
        <v>34762.800000000003</v>
      </c>
    </row>
    <row r="187" spans="1:26" ht="105">
      <c r="A187" s="4">
        <v>46271</v>
      </c>
      <c r="B187" s="5" t="s">
        <v>260</v>
      </c>
      <c r="C187" s="5" t="s">
        <v>260</v>
      </c>
      <c r="D187" s="5" t="s">
        <v>260</v>
      </c>
      <c r="E187" s="5" t="s">
        <v>261</v>
      </c>
      <c r="F187" s="6" t="s">
        <v>26</v>
      </c>
      <c r="G187" s="5" t="s">
        <v>262</v>
      </c>
      <c r="H187" s="5" t="s">
        <v>262</v>
      </c>
      <c r="I187" s="7" t="s">
        <v>28</v>
      </c>
      <c r="J187" s="8" t="s">
        <v>29</v>
      </c>
      <c r="K187" s="4">
        <v>46271</v>
      </c>
      <c r="L187" s="5" t="s">
        <v>263</v>
      </c>
      <c r="M187" s="8"/>
      <c r="N187" s="8"/>
      <c r="O187" s="5">
        <v>395006</v>
      </c>
      <c r="P187" s="9" t="s">
        <v>58</v>
      </c>
      <c r="Q187" s="9" t="s">
        <v>32</v>
      </c>
      <c r="R187" s="9" t="s">
        <v>41</v>
      </c>
      <c r="S187" s="9">
        <v>12</v>
      </c>
      <c r="T187" s="9" t="s">
        <v>34</v>
      </c>
      <c r="U187" s="5">
        <v>5434</v>
      </c>
      <c r="V187">
        <f t="shared" si="9"/>
        <v>65208</v>
      </c>
      <c r="W187" s="10">
        <v>0.18</v>
      </c>
      <c r="X187" s="11">
        <f t="shared" si="10"/>
        <v>11737.44</v>
      </c>
      <c r="Y187">
        <v>0</v>
      </c>
      <c r="Z187" s="11">
        <f t="shared" si="11"/>
        <v>76945.440000000002</v>
      </c>
    </row>
    <row r="188" spans="1:26" ht="105">
      <c r="A188" s="4">
        <v>46271</v>
      </c>
      <c r="B188" s="5" t="s">
        <v>260</v>
      </c>
      <c r="C188" s="5" t="s">
        <v>260</v>
      </c>
      <c r="D188" s="5" t="s">
        <v>260</v>
      </c>
      <c r="E188" s="5" t="s">
        <v>261</v>
      </c>
      <c r="F188" s="6" t="s">
        <v>26</v>
      </c>
      <c r="G188" s="5" t="s">
        <v>262</v>
      </c>
      <c r="H188" s="5" t="s">
        <v>262</v>
      </c>
      <c r="I188" s="7" t="s">
        <v>28</v>
      </c>
      <c r="J188" s="8" t="s">
        <v>29</v>
      </c>
      <c r="K188" s="4">
        <v>46271</v>
      </c>
      <c r="L188" s="5" t="s">
        <v>263</v>
      </c>
      <c r="M188" s="8"/>
      <c r="N188" s="8"/>
      <c r="O188" s="5">
        <v>395006</v>
      </c>
      <c r="P188" s="9" t="s">
        <v>31</v>
      </c>
      <c r="Q188" s="9" t="s">
        <v>32</v>
      </c>
      <c r="R188" s="9" t="s">
        <v>41</v>
      </c>
      <c r="S188" s="9">
        <v>10</v>
      </c>
      <c r="T188" s="9" t="s">
        <v>34</v>
      </c>
      <c r="U188" s="5">
        <v>3614</v>
      </c>
      <c r="V188">
        <f t="shared" si="9"/>
        <v>36140</v>
      </c>
      <c r="W188" s="10">
        <v>0.18</v>
      </c>
      <c r="X188" s="11">
        <f t="shared" si="10"/>
        <v>6505.2</v>
      </c>
      <c r="Y188">
        <v>0</v>
      </c>
      <c r="Z188" s="11">
        <f t="shared" si="11"/>
        <v>42645.2</v>
      </c>
    </row>
    <row r="189" spans="1:26" ht="105">
      <c r="A189" s="4">
        <v>46271</v>
      </c>
      <c r="B189" s="5" t="s">
        <v>260</v>
      </c>
      <c r="C189" s="5" t="s">
        <v>260</v>
      </c>
      <c r="D189" s="5" t="s">
        <v>260</v>
      </c>
      <c r="E189" s="5" t="s">
        <v>261</v>
      </c>
      <c r="F189" s="6" t="s">
        <v>26</v>
      </c>
      <c r="G189" s="5" t="s">
        <v>262</v>
      </c>
      <c r="H189" s="5" t="s">
        <v>262</v>
      </c>
      <c r="I189" s="7" t="s">
        <v>28</v>
      </c>
      <c r="J189" s="8" t="s">
        <v>29</v>
      </c>
      <c r="K189" s="4">
        <v>46271</v>
      </c>
      <c r="L189" s="5" t="s">
        <v>263</v>
      </c>
      <c r="M189" s="8"/>
      <c r="N189" s="8"/>
      <c r="O189" s="5">
        <v>395006</v>
      </c>
      <c r="P189" s="9" t="s">
        <v>57</v>
      </c>
      <c r="Q189" s="9" t="s">
        <v>32</v>
      </c>
      <c r="R189" s="9" t="s">
        <v>41</v>
      </c>
      <c r="S189" s="9">
        <v>72</v>
      </c>
      <c r="T189" s="9" t="s">
        <v>180</v>
      </c>
      <c r="U189" s="5">
        <v>4160</v>
      </c>
      <c r="V189">
        <f t="shared" si="9"/>
        <v>299520</v>
      </c>
      <c r="W189" s="10">
        <v>0.18</v>
      </c>
      <c r="X189" s="11">
        <f t="shared" si="10"/>
        <v>53913.599999999999</v>
      </c>
      <c r="Y189">
        <v>0</v>
      </c>
      <c r="Z189" s="11">
        <f t="shared" si="11"/>
        <v>353433.59999999998</v>
      </c>
    </row>
    <row r="190" spans="1:26" ht="105">
      <c r="A190" s="4">
        <v>46271</v>
      </c>
      <c r="B190" s="5" t="s">
        <v>260</v>
      </c>
      <c r="C190" s="5" t="s">
        <v>260</v>
      </c>
      <c r="D190" s="5" t="s">
        <v>260</v>
      </c>
      <c r="E190" s="5" t="s">
        <v>261</v>
      </c>
      <c r="F190" s="6" t="s">
        <v>26</v>
      </c>
      <c r="G190" s="5" t="s">
        <v>262</v>
      </c>
      <c r="H190" s="5" t="s">
        <v>262</v>
      </c>
      <c r="I190" s="7" t="s">
        <v>28</v>
      </c>
      <c r="J190" s="8" t="s">
        <v>29</v>
      </c>
      <c r="K190" s="4">
        <v>46271</v>
      </c>
      <c r="L190" s="5" t="s">
        <v>263</v>
      </c>
      <c r="M190" s="8"/>
      <c r="N190" s="8"/>
      <c r="O190" s="5">
        <v>395006</v>
      </c>
      <c r="P190" s="9" t="s">
        <v>57</v>
      </c>
      <c r="Q190" s="9" t="s">
        <v>32</v>
      </c>
      <c r="R190" s="9" t="s">
        <v>50</v>
      </c>
      <c r="S190" s="9">
        <v>32</v>
      </c>
      <c r="T190" s="9" t="s">
        <v>34</v>
      </c>
      <c r="U190" s="5">
        <v>6942</v>
      </c>
      <c r="V190">
        <f t="shared" si="9"/>
        <v>222144</v>
      </c>
      <c r="W190" s="10">
        <v>0.18</v>
      </c>
      <c r="X190" s="11">
        <f t="shared" si="10"/>
        <v>39985.919999999998</v>
      </c>
      <c r="Y190">
        <v>0</v>
      </c>
      <c r="Z190" s="11">
        <f t="shared" si="11"/>
        <v>262129.92000000001</v>
      </c>
    </row>
    <row r="191" spans="1:26" ht="30">
      <c r="A191" s="4">
        <v>46271</v>
      </c>
      <c r="B191" s="9" t="s">
        <v>42</v>
      </c>
      <c r="C191" s="9" t="s">
        <v>42</v>
      </c>
      <c r="D191" s="9" t="s">
        <v>42</v>
      </c>
      <c r="E191" s="5" t="s">
        <v>43</v>
      </c>
      <c r="F191" s="6" t="s">
        <v>26</v>
      </c>
      <c r="G191" s="5" t="s">
        <v>44</v>
      </c>
      <c r="H191" s="5" t="s">
        <v>44</v>
      </c>
      <c r="I191" s="7" t="s">
        <v>28</v>
      </c>
      <c r="J191" s="8" t="s">
        <v>29</v>
      </c>
      <c r="K191" s="4">
        <v>46271</v>
      </c>
      <c r="L191" s="5" t="s">
        <v>45</v>
      </c>
      <c r="M191" s="8"/>
      <c r="N191" s="8"/>
      <c r="O191" s="5">
        <v>600001</v>
      </c>
      <c r="P191" s="9" t="s">
        <v>58</v>
      </c>
      <c r="Q191" s="9" t="s">
        <v>52</v>
      </c>
      <c r="R191" s="9" t="s">
        <v>33</v>
      </c>
      <c r="S191" s="9">
        <v>1</v>
      </c>
      <c r="T191" s="9" t="s">
        <v>67</v>
      </c>
      <c r="U191" s="5">
        <v>6250</v>
      </c>
      <c r="V191">
        <f t="shared" si="9"/>
        <v>6250</v>
      </c>
      <c r="W191" s="10">
        <v>0.18</v>
      </c>
      <c r="X191" s="11">
        <f t="shared" si="10"/>
        <v>1125</v>
      </c>
      <c r="Y191">
        <v>0</v>
      </c>
      <c r="Z191" s="11">
        <f t="shared" si="11"/>
        <v>7375</v>
      </c>
    </row>
    <row r="192" spans="1:26" ht="30">
      <c r="A192" s="4">
        <v>46271</v>
      </c>
      <c r="B192" s="9" t="s">
        <v>42</v>
      </c>
      <c r="C192" s="9" t="s">
        <v>42</v>
      </c>
      <c r="D192" s="9" t="s">
        <v>42</v>
      </c>
      <c r="E192" s="5" t="s">
        <v>43</v>
      </c>
      <c r="F192" s="6" t="s">
        <v>26</v>
      </c>
      <c r="G192" s="5" t="s">
        <v>44</v>
      </c>
      <c r="H192" s="5" t="s">
        <v>44</v>
      </c>
      <c r="I192" s="7" t="s">
        <v>28</v>
      </c>
      <c r="J192" s="8" t="s">
        <v>29</v>
      </c>
      <c r="K192" s="4">
        <v>46271</v>
      </c>
      <c r="L192" s="5" t="s">
        <v>45</v>
      </c>
      <c r="M192" s="8"/>
      <c r="N192" s="8"/>
      <c r="O192" s="5">
        <v>600001</v>
      </c>
      <c r="P192" s="9" t="s">
        <v>58</v>
      </c>
      <c r="Q192" s="9" t="s">
        <v>48</v>
      </c>
      <c r="R192" s="9" t="s">
        <v>33</v>
      </c>
      <c r="S192" s="9">
        <v>9</v>
      </c>
      <c r="T192" s="9" t="s">
        <v>67</v>
      </c>
      <c r="U192" s="5">
        <v>10500</v>
      </c>
      <c r="V192">
        <f t="shared" si="9"/>
        <v>94500</v>
      </c>
      <c r="W192" s="10">
        <v>0.18</v>
      </c>
      <c r="X192" s="11">
        <f t="shared" si="10"/>
        <v>17010</v>
      </c>
      <c r="Y192">
        <v>0</v>
      </c>
      <c r="Z192" s="11">
        <f t="shared" si="11"/>
        <v>111510</v>
      </c>
    </row>
    <row r="193" spans="1:26" ht="30">
      <c r="A193" s="4">
        <v>46271</v>
      </c>
      <c r="B193" s="9" t="s">
        <v>42</v>
      </c>
      <c r="C193" s="9" t="s">
        <v>42</v>
      </c>
      <c r="D193" s="9" t="s">
        <v>42</v>
      </c>
      <c r="E193" s="5" t="s">
        <v>43</v>
      </c>
      <c r="F193" s="6" t="s">
        <v>26</v>
      </c>
      <c r="G193" s="5" t="s">
        <v>44</v>
      </c>
      <c r="H193" s="5" t="s">
        <v>44</v>
      </c>
      <c r="I193" s="7" t="s">
        <v>28</v>
      </c>
      <c r="J193" s="8" t="s">
        <v>29</v>
      </c>
      <c r="K193" s="4">
        <v>46271</v>
      </c>
      <c r="L193" s="5" t="s">
        <v>45</v>
      </c>
      <c r="M193" s="8"/>
      <c r="N193" s="8"/>
      <c r="O193" s="5">
        <v>600001</v>
      </c>
      <c r="P193" s="9" t="s">
        <v>58</v>
      </c>
      <c r="Q193" s="9" t="s">
        <v>32</v>
      </c>
      <c r="R193" s="9" t="s">
        <v>33</v>
      </c>
      <c r="S193" s="9">
        <v>2</v>
      </c>
      <c r="T193" s="9" t="s">
        <v>67</v>
      </c>
      <c r="U193" s="5">
        <v>10300</v>
      </c>
      <c r="V193">
        <f t="shared" si="9"/>
        <v>20600</v>
      </c>
      <c r="W193" s="10">
        <v>0.18</v>
      </c>
      <c r="X193" s="11">
        <f t="shared" si="10"/>
        <v>3708</v>
      </c>
      <c r="Y193">
        <v>0</v>
      </c>
      <c r="Z193" s="11">
        <f t="shared" si="11"/>
        <v>24308</v>
      </c>
    </row>
    <row r="194" spans="1:26" ht="75">
      <c r="A194" s="4">
        <v>46271</v>
      </c>
      <c r="B194" s="5" t="s">
        <v>264</v>
      </c>
      <c r="C194" s="5" t="s">
        <v>264</v>
      </c>
      <c r="D194" s="5" t="s">
        <v>264</v>
      </c>
      <c r="E194" s="5" t="s">
        <v>265</v>
      </c>
      <c r="F194" s="6" t="s">
        <v>26</v>
      </c>
      <c r="G194" s="5" t="s">
        <v>266</v>
      </c>
      <c r="H194" s="5" t="s">
        <v>266</v>
      </c>
      <c r="I194" s="7" t="s">
        <v>28</v>
      </c>
      <c r="J194" s="8" t="s">
        <v>29</v>
      </c>
      <c r="K194" s="4">
        <v>46271</v>
      </c>
      <c r="L194" s="5" t="s">
        <v>267</v>
      </c>
      <c r="M194" s="8"/>
      <c r="N194" s="8"/>
      <c r="O194" s="5">
        <v>395006</v>
      </c>
      <c r="P194" s="9" t="s">
        <v>31</v>
      </c>
      <c r="Q194" s="9" t="s">
        <v>231</v>
      </c>
      <c r="R194" s="9" t="s">
        <v>41</v>
      </c>
      <c r="S194" s="9">
        <v>1</v>
      </c>
      <c r="T194" s="9" t="s">
        <v>34</v>
      </c>
      <c r="U194" s="5">
        <v>13900</v>
      </c>
      <c r="V194">
        <f t="shared" si="9"/>
        <v>13900</v>
      </c>
      <c r="W194" s="10">
        <v>0.18</v>
      </c>
      <c r="X194" s="11">
        <f t="shared" si="10"/>
        <v>2502</v>
      </c>
      <c r="Y194">
        <v>0</v>
      </c>
      <c r="Z194" s="11">
        <f t="shared" si="11"/>
        <v>16402</v>
      </c>
    </row>
    <row r="195" spans="1:26" ht="75">
      <c r="A195" s="4">
        <v>46271</v>
      </c>
      <c r="B195" s="5" t="s">
        <v>268</v>
      </c>
      <c r="C195" s="5" t="s">
        <v>268</v>
      </c>
      <c r="D195" s="5" t="s">
        <v>268</v>
      </c>
      <c r="E195" s="5" t="s">
        <v>269</v>
      </c>
      <c r="F195" s="6" t="s">
        <v>26</v>
      </c>
      <c r="G195" s="5" t="s">
        <v>270</v>
      </c>
      <c r="H195" s="5" t="s">
        <v>270</v>
      </c>
      <c r="I195" s="7" t="s">
        <v>28</v>
      </c>
      <c r="J195" s="8" t="s">
        <v>29</v>
      </c>
      <c r="K195" s="4">
        <v>46271</v>
      </c>
      <c r="L195" s="5" t="s">
        <v>271</v>
      </c>
      <c r="M195" s="8"/>
      <c r="N195" s="8"/>
      <c r="O195" s="5">
        <v>361305</v>
      </c>
      <c r="P195" s="9" t="s">
        <v>31</v>
      </c>
      <c r="Q195" s="9" t="s">
        <v>48</v>
      </c>
      <c r="R195" s="9" t="s">
        <v>47</v>
      </c>
      <c r="S195" s="9">
        <v>25</v>
      </c>
      <c r="T195" s="9" t="s">
        <v>34</v>
      </c>
      <c r="U195" s="5">
        <v>6150</v>
      </c>
      <c r="V195">
        <f t="shared" si="9"/>
        <v>153750</v>
      </c>
      <c r="W195" s="10">
        <v>0.18</v>
      </c>
      <c r="X195" s="11">
        <f t="shared" si="10"/>
        <v>27675</v>
      </c>
      <c r="Y195">
        <v>0</v>
      </c>
      <c r="Z195" s="11">
        <f t="shared" si="11"/>
        <v>181425</v>
      </c>
    </row>
    <row r="196" spans="1:26" ht="75">
      <c r="A196" s="4">
        <v>46271</v>
      </c>
      <c r="B196" s="5" t="s">
        <v>268</v>
      </c>
      <c r="C196" s="5" t="s">
        <v>268</v>
      </c>
      <c r="D196" s="5" t="s">
        <v>268</v>
      </c>
      <c r="E196" s="5" t="s">
        <v>269</v>
      </c>
      <c r="F196" s="6" t="s">
        <v>26</v>
      </c>
      <c r="G196" s="5" t="s">
        <v>270</v>
      </c>
      <c r="H196" s="5" t="s">
        <v>270</v>
      </c>
      <c r="I196" s="7" t="s">
        <v>28</v>
      </c>
      <c r="J196" s="8" t="s">
        <v>29</v>
      </c>
      <c r="K196" s="4">
        <v>46271</v>
      </c>
      <c r="L196" s="5" t="s">
        <v>271</v>
      </c>
      <c r="M196" s="8"/>
      <c r="N196" s="8"/>
      <c r="O196" s="5">
        <v>361305</v>
      </c>
      <c r="P196" s="9" t="s">
        <v>31</v>
      </c>
      <c r="Q196" s="9" t="s">
        <v>72</v>
      </c>
      <c r="R196" s="9" t="s">
        <v>41</v>
      </c>
      <c r="S196" s="9">
        <v>4</v>
      </c>
      <c r="T196" s="9" t="s">
        <v>34</v>
      </c>
      <c r="U196" s="5">
        <v>13110</v>
      </c>
      <c r="V196">
        <f t="shared" si="9"/>
        <v>52440</v>
      </c>
      <c r="W196" s="10">
        <v>0.18</v>
      </c>
      <c r="X196" s="11">
        <f t="shared" si="10"/>
        <v>9439.2000000000007</v>
      </c>
      <c r="Y196">
        <v>0</v>
      </c>
      <c r="Z196" s="11">
        <f t="shared" si="11"/>
        <v>61879.199999999997</v>
      </c>
    </row>
    <row r="197" spans="1:26" ht="75">
      <c r="A197" s="4">
        <v>46271</v>
      </c>
      <c r="B197" s="5" t="s">
        <v>268</v>
      </c>
      <c r="C197" s="5" t="s">
        <v>268</v>
      </c>
      <c r="D197" s="5" t="s">
        <v>268</v>
      </c>
      <c r="E197" s="5" t="s">
        <v>269</v>
      </c>
      <c r="F197" s="6" t="s">
        <v>26</v>
      </c>
      <c r="G197" s="5" t="s">
        <v>270</v>
      </c>
      <c r="H197" s="5" t="s">
        <v>270</v>
      </c>
      <c r="I197" s="7" t="s">
        <v>28</v>
      </c>
      <c r="J197" s="8" t="s">
        <v>29</v>
      </c>
      <c r="K197" s="4">
        <v>46271</v>
      </c>
      <c r="L197" s="5" t="s">
        <v>271</v>
      </c>
      <c r="M197" s="8"/>
      <c r="N197" s="8"/>
      <c r="O197" s="5">
        <v>361305</v>
      </c>
      <c r="P197" s="9" t="s">
        <v>31</v>
      </c>
      <c r="Q197" s="9" t="s">
        <v>72</v>
      </c>
      <c r="R197" s="9" t="s">
        <v>33</v>
      </c>
      <c r="S197" s="9">
        <v>5</v>
      </c>
      <c r="T197" s="9" t="s">
        <v>34</v>
      </c>
      <c r="U197" s="5">
        <v>15300</v>
      </c>
      <c r="V197">
        <f t="shared" si="9"/>
        <v>76500</v>
      </c>
      <c r="W197" s="10">
        <v>0.18</v>
      </c>
      <c r="X197" s="11">
        <f t="shared" si="10"/>
        <v>13770</v>
      </c>
      <c r="Y197">
        <v>0</v>
      </c>
      <c r="Z197" s="11">
        <f t="shared" si="11"/>
        <v>90270</v>
      </c>
    </row>
    <row r="198" spans="1:26" ht="75">
      <c r="A198" s="4">
        <v>46271</v>
      </c>
      <c r="B198" s="5" t="s">
        <v>268</v>
      </c>
      <c r="C198" s="5" t="s">
        <v>268</v>
      </c>
      <c r="D198" s="5" t="s">
        <v>268</v>
      </c>
      <c r="E198" s="5" t="s">
        <v>269</v>
      </c>
      <c r="F198" s="6" t="s">
        <v>26</v>
      </c>
      <c r="G198" s="5" t="s">
        <v>270</v>
      </c>
      <c r="H198" s="5" t="s">
        <v>270</v>
      </c>
      <c r="I198" s="7" t="s">
        <v>28</v>
      </c>
      <c r="J198" s="8" t="s">
        <v>29</v>
      </c>
      <c r="K198" s="4">
        <v>46271</v>
      </c>
      <c r="L198" s="5" t="s">
        <v>271</v>
      </c>
      <c r="M198" s="8"/>
      <c r="N198" s="8"/>
      <c r="O198" s="5">
        <v>361305</v>
      </c>
      <c r="P198" s="9" t="s">
        <v>31</v>
      </c>
      <c r="Q198" s="9" t="s">
        <v>48</v>
      </c>
      <c r="R198" s="9" t="s">
        <v>33</v>
      </c>
      <c r="S198" s="9">
        <v>2</v>
      </c>
      <c r="T198" s="9" t="s">
        <v>34</v>
      </c>
      <c r="U198" s="5">
        <v>5160</v>
      </c>
      <c r="V198">
        <f t="shared" si="9"/>
        <v>10320</v>
      </c>
      <c r="W198" s="10">
        <v>0.18</v>
      </c>
      <c r="X198" s="11">
        <f t="shared" si="10"/>
        <v>1857.6</v>
      </c>
      <c r="Y198">
        <v>0</v>
      </c>
      <c r="Z198" s="11">
        <f t="shared" si="11"/>
        <v>12177.6</v>
      </c>
    </row>
    <row r="199" spans="1:26" ht="75">
      <c r="A199" s="4">
        <v>46271</v>
      </c>
      <c r="B199" s="5" t="s">
        <v>268</v>
      </c>
      <c r="C199" s="5" t="s">
        <v>268</v>
      </c>
      <c r="D199" s="5" t="s">
        <v>268</v>
      </c>
      <c r="E199" s="5" t="s">
        <v>269</v>
      </c>
      <c r="F199" s="6" t="s">
        <v>26</v>
      </c>
      <c r="G199" s="5" t="s">
        <v>270</v>
      </c>
      <c r="H199" s="5" t="s">
        <v>270</v>
      </c>
      <c r="I199" s="7" t="s">
        <v>28</v>
      </c>
      <c r="J199" s="8" t="s">
        <v>29</v>
      </c>
      <c r="K199" s="4">
        <v>46271</v>
      </c>
      <c r="L199" s="5" t="s">
        <v>271</v>
      </c>
      <c r="M199" s="8"/>
      <c r="N199" s="8"/>
      <c r="O199" s="5">
        <v>361305</v>
      </c>
      <c r="P199" s="9" t="s">
        <v>31</v>
      </c>
      <c r="Q199" s="9" t="s">
        <v>46</v>
      </c>
      <c r="R199" s="9" t="s">
        <v>47</v>
      </c>
      <c r="S199" s="9">
        <v>2</v>
      </c>
      <c r="T199" s="9" t="s">
        <v>34</v>
      </c>
      <c r="U199" s="5">
        <v>32010</v>
      </c>
      <c r="V199">
        <f t="shared" si="9"/>
        <v>64020</v>
      </c>
      <c r="W199" s="10">
        <v>0.18</v>
      </c>
      <c r="X199" s="11">
        <f t="shared" si="10"/>
        <v>11523.6</v>
      </c>
      <c r="Y199">
        <v>0</v>
      </c>
      <c r="Z199" s="11">
        <f t="shared" si="11"/>
        <v>75543.600000000006</v>
      </c>
    </row>
    <row r="200" spans="1:26" ht="60">
      <c r="A200" s="4">
        <v>46332</v>
      </c>
      <c r="B200" s="5" t="s">
        <v>272</v>
      </c>
      <c r="C200" s="5" t="s">
        <v>272</v>
      </c>
      <c r="D200" s="5" t="s">
        <v>272</v>
      </c>
      <c r="E200" s="5" t="s">
        <v>273</v>
      </c>
      <c r="F200" s="6" t="s">
        <v>26</v>
      </c>
      <c r="G200" s="5" t="s">
        <v>274</v>
      </c>
      <c r="H200" s="5" t="s">
        <v>274</v>
      </c>
      <c r="I200" s="7" t="s">
        <v>28</v>
      </c>
      <c r="J200" s="8" t="s">
        <v>29</v>
      </c>
      <c r="K200" s="4">
        <v>46332</v>
      </c>
      <c r="L200" s="5" t="s">
        <v>275</v>
      </c>
      <c r="M200" s="8"/>
      <c r="N200" s="8"/>
      <c r="O200" s="5">
        <v>380059</v>
      </c>
      <c r="P200" s="9" t="s">
        <v>31</v>
      </c>
      <c r="Q200" s="9" t="s">
        <v>116</v>
      </c>
      <c r="R200" s="9" t="s">
        <v>41</v>
      </c>
      <c r="S200" s="9">
        <v>1</v>
      </c>
      <c r="T200" s="9" t="s">
        <v>34</v>
      </c>
      <c r="U200" s="5">
        <v>3850</v>
      </c>
      <c r="V200">
        <f t="shared" si="9"/>
        <v>3850</v>
      </c>
      <c r="W200" s="10">
        <v>0.18</v>
      </c>
      <c r="X200" s="11">
        <f t="shared" si="10"/>
        <v>693</v>
      </c>
      <c r="Y200">
        <v>0</v>
      </c>
      <c r="Z200" s="11">
        <f t="shared" si="11"/>
        <v>4543</v>
      </c>
    </row>
    <row r="201" spans="1:26" ht="75">
      <c r="A201" s="4">
        <v>46362</v>
      </c>
      <c r="B201" s="5" t="s">
        <v>79</v>
      </c>
      <c r="C201" s="5" t="s">
        <v>79</v>
      </c>
      <c r="D201" s="5" t="s">
        <v>79</v>
      </c>
      <c r="E201" s="5" t="s">
        <v>80</v>
      </c>
      <c r="F201" s="6" t="s">
        <v>26</v>
      </c>
      <c r="G201" s="5" t="s">
        <v>81</v>
      </c>
      <c r="H201" s="5" t="s">
        <v>81</v>
      </c>
      <c r="I201" s="7" t="s">
        <v>28</v>
      </c>
      <c r="J201" s="8" t="s">
        <v>29</v>
      </c>
      <c r="K201" s="4">
        <v>46362</v>
      </c>
      <c r="L201" s="5" t="s">
        <v>82</v>
      </c>
      <c r="M201" s="8"/>
      <c r="N201" s="8"/>
      <c r="O201" s="5">
        <v>371004</v>
      </c>
      <c r="P201" s="9" t="s">
        <v>31</v>
      </c>
      <c r="Q201" s="9" t="s">
        <v>276</v>
      </c>
      <c r="R201" s="9" t="s">
        <v>41</v>
      </c>
      <c r="S201" s="9">
        <v>8</v>
      </c>
      <c r="T201" s="9" t="s">
        <v>34</v>
      </c>
      <c r="U201" s="5">
        <v>4170</v>
      </c>
      <c r="V201">
        <f t="shared" si="9"/>
        <v>33360</v>
      </c>
      <c r="W201" s="10">
        <v>0.18</v>
      </c>
      <c r="X201" s="11">
        <f t="shared" si="10"/>
        <v>6004.8</v>
      </c>
      <c r="Y201">
        <v>0</v>
      </c>
      <c r="Z201" s="11">
        <f t="shared" si="11"/>
        <v>39364.800000000003</v>
      </c>
    </row>
    <row r="202" spans="1:26" ht="75">
      <c r="A202" s="4">
        <v>46362</v>
      </c>
      <c r="B202" s="5" t="s">
        <v>79</v>
      </c>
      <c r="C202" s="5" t="s">
        <v>79</v>
      </c>
      <c r="D202" s="5" t="s">
        <v>79</v>
      </c>
      <c r="E202" s="5" t="s">
        <v>80</v>
      </c>
      <c r="F202" s="6" t="s">
        <v>26</v>
      </c>
      <c r="G202" s="5" t="s">
        <v>81</v>
      </c>
      <c r="H202" s="5" t="s">
        <v>81</v>
      </c>
      <c r="I202" s="7" t="s">
        <v>28</v>
      </c>
      <c r="J202" s="8" t="s">
        <v>29</v>
      </c>
      <c r="K202" s="4">
        <v>46362</v>
      </c>
      <c r="L202" s="5" t="s">
        <v>82</v>
      </c>
      <c r="M202" s="8"/>
      <c r="N202" s="8"/>
      <c r="O202" s="5">
        <v>371004</v>
      </c>
      <c r="P202" s="9" t="s">
        <v>31</v>
      </c>
      <c r="Q202" s="9" t="s">
        <v>236</v>
      </c>
      <c r="R202" s="9" t="s">
        <v>41</v>
      </c>
      <c r="S202" s="9">
        <v>1</v>
      </c>
      <c r="T202" s="9" t="s">
        <v>34</v>
      </c>
      <c r="U202" s="5">
        <v>13110</v>
      </c>
      <c r="V202">
        <f t="shared" si="9"/>
        <v>13110</v>
      </c>
      <c r="W202" s="10">
        <v>0.18</v>
      </c>
      <c r="X202" s="11">
        <f t="shared" si="10"/>
        <v>2359.8000000000002</v>
      </c>
      <c r="Y202">
        <v>0</v>
      </c>
      <c r="Z202" s="11">
        <f t="shared" si="11"/>
        <v>15469.8</v>
      </c>
    </row>
    <row r="203" spans="1:26" ht="75">
      <c r="A203" s="4">
        <v>46362</v>
      </c>
      <c r="B203" s="5" t="s">
        <v>277</v>
      </c>
      <c r="C203" s="5" t="s">
        <v>277</v>
      </c>
      <c r="D203" s="5" t="s">
        <v>277</v>
      </c>
      <c r="E203" s="5" t="s">
        <v>278</v>
      </c>
      <c r="F203" s="6" t="s">
        <v>26</v>
      </c>
      <c r="G203" s="5" t="s">
        <v>279</v>
      </c>
      <c r="H203" s="5" t="s">
        <v>279</v>
      </c>
      <c r="I203" s="7" t="s">
        <v>28</v>
      </c>
      <c r="J203" s="8" t="s">
        <v>29</v>
      </c>
      <c r="K203" s="4">
        <v>46362</v>
      </c>
      <c r="L203" s="5" t="s">
        <v>280</v>
      </c>
      <c r="M203" s="8"/>
      <c r="N203" s="8"/>
      <c r="O203" s="5">
        <v>382426</v>
      </c>
      <c r="P203" s="9" t="s">
        <v>31</v>
      </c>
      <c r="Q203" s="9" t="s">
        <v>40</v>
      </c>
      <c r="R203" s="9" t="s">
        <v>41</v>
      </c>
      <c r="S203" s="9">
        <v>4</v>
      </c>
      <c r="T203" s="9" t="s">
        <v>34</v>
      </c>
      <c r="U203" s="5">
        <v>1400</v>
      </c>
      <c r="V203">
        <f t="shared" si="9"/>
        <v>5600</v>
      </c>
      <c r="W203" s="10">
        <v>0.18</v>
      </c>
      <c r="X203" s="11">
        <f t="shared" si="10"/>
        <v>1008</v>
      </c>
      <c r="Y203">
        <v>0</v>
      </c>
      <c r="Z203" s="11">
        <f t="shared" si="11"/>
        <v>6608</v>
      </c>
    </row>
    <row r="204" spans="1:26" ht="75">
      <c r="A204" s="4">
        <v>46362</v>
      </c>
      <c r="B204" s="5" t="s">
        <v>277</v>
      </c>
      <c r="C204" s="5" t="s">
        <v>277</v>
      </c>
      <c r="D204" s="5" t="s">
        <v>277</v>
      </c>
      <c r="E204" s="5" t="s">
        <v>278</v>
      </c>
      <c r="F204" s="6" t="s">
        <v>26</v>
      </c>
      <c r="G204" s="5" t="s">
        <v>279</v>
      </c>
      <c r="H204" s="5" t="s">
        <v>279</v>
      </c>
      <c r="I204" s="7" t="s">
        <v>28</v>
      </c>
      <c r="J204" s="8" t="s">
        <v>29</v>
      </c>
      <c r="K204" s="4">
        <v>46362</v>
      </c>
      <c r="L204" s="5" t="s">
        <v>280</v>
      </c>
      <c r="M204" s="8"/>
      <c r="N204" s="8"/>
      <c r="O204" s="5">
        <v>382426</v>
      </c>
      <c r="P204" s="9" t="s">
        <v>31</v>
      </c>
      <c r="Q204" s="9" t="s">
        <v>115</v>
      </c>
      <c r="R204" s="9" t="s">
        <v>41</v>
      </c>
      <c r="S204" s="9">
        <v>1</v>
      </c>
      <c r="T204" s="9" t="s">
        <v>34</v>
      </c>
      <c r="U204" s="5">
        <v>450</v>
      </c>
      <c r="V204">
        <f t="shared" si="9"/>
        <v>450</v>
      </c>
      <c r="W204" s="10">
        <v>0.18</v>
      </c>
      <c r="X204" s="11">
        <f t="shared" si="10"/>
        <v>81</v>
      </c>
      <c r="Y204">
        <v>0</v>
      </c>
      <c r="Z204" s="11">
        <f t="shared" si="11"/>
        <v>531</v>
      </c>
    </row>
    <row r="205" spans="1:26" ht="75">
      <c r="A205" s="4">
        <v>46186</v>
      </c>
      <c r="B205" s="5" t="s">
        <v>264</v>
      </c>
      <c r="C205" s="5" t="s">
        <v>264</v>
      </c>
      <c r="D205" s="5" t="s">
        <v>264</v>
      </c>
      <c r="E205" s="5" t="s">
        <v>265</v>
      </c>
      <c r="F205" s="6" t="s">
        <v>26</v>
      </c>
      <c r="G205" s="5" t="s">
        <v>266</v>
      </c>
      <c r="H205" s="5" t="s">
        <v>266</v>
      </c>
      <c r="I205" s="7" t="s">
        <v>28</v>
      </c>
      <c r="J205" s="8" t="s">
        <v>29</v>
      </c>
      <c r="K205" s="4">
        <v>46186</v>
      </c>
      <c r="L205" s="5" t="s">
        <v>267</v>
      </c>
      <c r="M205" s="8"/>
      <c r="N205" s="8"/>
      <c r="O205" s="5">
        <v>395006</v>
      </c>
      <c r="P205" s="9" t="s">
        <v>31</v>
      </c>
      <c r="Q205" s="9" t="s">
        <v>32</v>
      </c>
      <c r="R205" s="9" t="s">
        <v>41</v>
      </c>
      <c r="S205" s="9">
        <v>3</v>
      </c>
      <c r="T205" s="9" t="s">
        <v>34</v>
      </c>
      <c r="U205" s="5">
        <v>6950</v>
      </c>
      <c r="V205">
        <f t="shared" si="9"/>
        <v>20850</v>
      </c>
      <c r="W205" s="10">
        <v>0.18</v>
      </c>
      <c r="X205" s="11">
        <f t="shared" si="10"/>
        <v>3753</v>
      </c>
      <c r="Y205">
        <v>0</v>
      </c>
      <c r="Z205" s="11">
        <f t="shared" si="11"/>
        <v>24603</v>
      </c>
    </row>
    <row r="206" spans="1:26" ht="90">
      <c r="A206" s="4">
        <v>46187</v>
      </c>
      <c r="B206" s="5" t="s">
        <v>63</v>
      </c>
      <c r="C206" s="5" t="s">
        <v>63</v>
      </c>
      <c r="D206" s="5" t="s">
        <v>63</v>
      </c>
      <c r="E206" s="5" t="s">
        <v>64</v>
      </c>
      <c r="F206" s="6" t="s">
        <v>26</v>
      </c>
      <c r="G206" s="5" t="s">
        <v>65</v>
      </c>
      <c r="H206" s="5" t="s">
        <v>65</v>
      </c>
      <c r="I206" s="7" t="s">
        <v>28</v>
      </c>
      <c r="J206" s="8" t="s">
        <v>29</v>
      </c>
      <c r="K206" s="4">
        <v>46187</v>
      </c>
      <c r="L206" s="5" t="s">
        <v>66</v>
      </c>
      <c r="M206" s="8"/>
      <c r="N206" s="8"/>
      <c r="O206" s="5">
        <v>380060</v>
      </c>
      <c r="P206" s="9" t="s">
        <v>58</v>
      </c>
      <c r="Q206" s="9" t="s">
        <v>32</v>
      </c>
      <c r="R206" s="9" t="s">
        <v>50</v>
      </c>
      <c r="S206" s="9">
        <v>25</v>
      </c>
      <c r="T206" s="9" t="s">
        <v>67</v>
      </c>
      <c r="U206" s="5">
        <v>8000</v>
      </c>
      <c r="V206">
        <f t="shared" si="9"/>
        <v>200000</v>
      </c>
      <c r="W206" s="10">
        <v>0.18</v>
      </c>
      <c r="X206" s="11">
        <f t="shared" si="10"/>
        <v>36000</v>
      </c>
      <c r="Y206">
        <v>0</v>
      </c>
      <c r="Z206" s="11">
        <f t="shared" si="11"/>
        <v>236000</v>
      </c>
    </row>
    <row r="207" spans="1:26" ht="75">
      <c r="A207" s="4">
        <v>46188</v>
      </c>
      <c r="B207" s="5" t="s">
        <v>117</v>
      </c>
      <c r="C207" s="5" t="s">
        <v>117</v>
      </c>
      <c r="D207" s="5" t="s">
        <v>117</v>
      </c>
      <c r="E207" s="5" t="s">
        <v>118</v>
      </c>
      <c r="F207" s="6" t="s">
        <v>26</v>
      </c>
      <c r="G207" s="5" t="s">
        <v>119</v>
      </c>
      <c r="H207" s="5" t="s">
        <v>119</v>
      </c>
      <c r="I207" s="7" t="s">
        <v>28</v>
      </c>
      <c r="J207" s="8" t="s">
        <v>29</v>
      </c>
      <c r="K207" s="4">
        <v>46188</v>
      </c>
      <c r="L207" s="5" t="s">
        <v>259</v>
      </c>
      <c r="M207" s="8"/>
      <c r="N207" s="8"/>
      <c r="O207" s="5">
        <v>390020</v>
      </c>
      <c r="P207" s="9" t="s">
        <v>31</v>
      </c>
      <c r="Q207" s="9" t="s">
        <v>72</v>
      </c>
      <c r="R207" s="9" t="s">
        <v>41</v>
      </c>
      <c r="S207" s="9">
        <v>7</v>
      </c>
      <c r="T207" s="9" t="s">
        <v>34</v>
      </c>
      <c r="U207" s="5">
        <v>13110</v>
      </c>
      <c r="V207">
        <f t="shared" si="9"/>
        <v>91770</v>
      </c>
      <c r="W207" s="10">
        <v>0.18</v>
      </c>
      <c r="X207" s="11">
        <f t="shared" si="10"/>
        <v>16518.599999999999</v>
      </c>
      <c r="Y207">
        <v>0</v>
      </c>
      <c r="Z207" s="11">
        <f t="shared" si="11"/>
        <v>108288.6</v>
      </c>
    </row>
    <row r="208" spans="1:26" ht="75">
      <c r="A208" s="4">
        <v>46188</v>
      </c>
      <c r="B208" s="5" t="s">
        <v>117</v>
      </c>
      <c r="C208" s="5" t="s">
        <v>117</v>
      </c>
      <c r="D208" s="5" t="s">
        <v>117</v>
      </c>
      <c r="E208" s="5" t="s">
        <v>118</v>
      </c>
      <c r="F208" s="6" t="s">
        <v>26</v>
      </c>
      <c r="G208" s="5" t="s">
        <v>119</v>
      </c>
      <c r="H208" s="5" t="s">
        <v>119</v>
      </c>
      <c r="I208" s="7" t="s">
        <v>28</v>
      </c>
      <c r="J208" s="8" t="s">
        <v>29</v>
      </c>
      <c r="K208" s="4">
        <v>46188</v>
      </c>
      <c r="L208" s="5" t="s">
        <v>259</v>
      </c>
      <c r="M208" s="8"/>
      <c r="N208" s="8"/>
      <c r="O208" s="5">
        <v>390020</v>
      </c>
      <c r="P208" s="9" t="s">
        <v>31</v>
      </c>
      <c r="Q208" s="9" t="s">
        <v>46</v>
      </c>
      <c r="R208" s="9" t="s">
        <v>41</v>
      </c>
      <c r="S208" s="9">
        <v>4</v>
      </c>
      <c r="T208" s="9" t="s">
        <v>34</v>
      </c>
      <c r="U208" s="5">
        <v>17100</v>
      </c>
      <c r="V208">
        <f t="shared" si="9"/>
        <v>68400</v>
      </c>
      <c r="W208" s="10">
        <v>0.18</v>
      </c>
      <c r="X208" s="11">
        <f t="shared" si="10"/>
        <v>12312</v>
      </c>
      <c r="Y208">
        <v>0</v>
      </c>
      <c r="Z208" s="11">
        <f t="shared" si="11"/>
        <v>80712</v>
      </c>
    </row>
    <row r="209" spans="1:26" ht="75">
      <c r="A209" s="4">
        <v>46188</v>
      </c>
      <c r="B209" s="5" t="s">
        <v>117</v>
      </c>
      <c r="C209" s="5" t="s">
        <v>117</v>
      </c>
      <c r="D209" s="5" t="s">
        <v>117</v>
      </c>
      <c r="E209" s="5" t="s">
        <v>118</v>
      </c>
      <c r="F209" s="6" t="s">
        <v>26</v>
      </c>
      <c r="G209" s="5" t="s">
        <v>119</v>
      </c>
      <c r="H209" s="5" t="s">
        <v>119</v>
      </c>
      <c r="I209" s="7" t="s">
        <v>28</v>
      </c>
      <c r="J209" s="8" t="s">
        <v>29</v>
      </c>
      <c r="K209" s="4">
        <v>46188</v>
      </c>
      <c r="L209" s="5" t="s">
        <v>259</v>
      </c>
      <c r="M209" s="8"/>
      <c r="N209" s="8"/>
      <c r="O209" s="5">
        <v>390020</v>
      </c>
      <c r="P209" s="9" t="s">
        <v>31</v>
      </c>
      <c r="Q209" s="9" t="s">
        <v>229</v>
      </c>
      <c r="R209" s="9" t="s">
        <v>50</v>
      </c>
      <c r="S209" s="9">
        <v>3</v>
      </c>
      <c r="T209" s="9" t="s">
        <v>34</v>
      </c>
      <c r="U209" s="5">
        <v>29460</v>
      </c>
      <c r="V209">
        <f t="shared" si="9"/>
        <v>88380</v>
      </c>
      <c r="W209" s="10">
        <v>0.18</v>
      </c>
      <c r="X209" s="11">
        <f t="shared" si="10"/>
        <v>15908.4</v>
      </c>
      <c r="Y209">
        <v>0</v>
      </c>
      <c r="Z209" s="11">
        <f t="shared" si="11"/>
        <v>104288.4</v>
      </c>
    </row>
    <row r="210" spans="1:26" ht="60">
      <c r="A210" s="4">
        <v>46198</v>
      </c>
      <c r="B210" s="5" t="s">
        <v>35</v>
      </c>
      <c r="C210" s="5" t="s">
        <v>35</v>
      </c>
      <c r="D210" s="5" t="s">
        <v>123</v>
      </c>
      <c r="E210" s="5" t="s">
        <v>124</v>
      </c>
      <c r="F210" s="6" t="s">
        <v>26</v>
      </c>
      <c r="G210" s="5" t="s">
        <v>125</v>
      </c>
      <c r="H210" s="5" t="s">
        <v>125</v>
      </c>
      <c r="I210" s="7" t="s">
        <v>28</v>
      </c>
      <c r="J210" s="8" t="s">
        <v>29</v>
      </c>
      <c r="K210" s="4">
        <v>46198</v>
      </c>
      <c r="L210" s="5" t="s">
        <v>126</v>
      </c>
      <c r="M210" s="8"/>
      <c r="N210" s="8"/>
      <c r="O210" s="5">
        <v>380060</v>
      </c>
      <c r="P210" s="9" t="s">
        <v>31</v>
      </c>
      <c r="Q210" s="9" t="s">
        <v>40</v>
      </c>
      <c r="R210" s="9" t="s">
        <v>41</v>
      </c>
      <c r="S210" s="9">
        <v>18</v>
      </c>
      <c r="T210" s="9" t="s">
        <v>34</v>
      </c>
      <c r="U210" s="5">
        <v>1995</v>
      </c>
      <c r="V210">
        <f t="shared" si="9"/>
        <v>35910</v>
      </c>
      <c r="W210" s="10">
        <v>0.18</v>
      </c>
      <c r="X210" s="11">
        <f t="shared" si="10"/>
        <v>6463.8</v>
      </c>
      <c r="Y210">
        <v>0</v>
      </c>
      <c r="Z210" s="11">
        <f t="shared" si="11"/>
        <v>42373.8</v>
      </c>
    </row>
    <row r="211" spans="1:26" ht="75">
      <c r="A211" s="4">
        <v>46198</v>
      </c>
      <c r="B211" s="5" t="s">
        <v>35</v>
      </c>
      <c r="C211" s="5" t="s">
        <v>35</v>
      </c>
      <c r="D211" s="5" t="s">
        <v>36</v>
      </c>
      <c r="E211" s="5" t="s">
        <v>37</v>
      </c>
      <c r="F211" s="6" t="s">
        <v>26</v>
      </c>
      <c r="G211" s="5" t="s">
        <v>38</v>
      </c>
      <c r="H211" s="5" t="s">
        <v>38</v>
      </c>
      <c r="I211" s="7" t="s">
        <v>28</v>
      </c>
      <c r="J211" s="8" t="s">
        <v>29</v>
      </c>
      <c r="K211" s="4">
        <v>46198</v>
      </c>
      <c r="L211" s="5" t="s">
        <v>39</v>
      </c>
      <c r="M211" s="8"/>
      <c r="N211" s="8"/>
      <c r="O211" s="5">
        <v>380060</v>
      </c>
      <c r="P211" s="9" t="s">
        <v>58</v>
      </c>
      <c r="Q211" s="9" t="s">
        <v>72</v>
      </c>
      <c r="R211" s="9" t="s">
        <v>41</v>
      </c>
      <c r="S211" s="9">
        <v>2</v>
      </c>
      <c r="T211" s="9" t="s">
        <v>67</v>
      </c>
      <c r="U211" s="5">
        <v>26000</v>
      </c>
      <c r="V211">
        <f t="shared" si="9"/>
        <v>52000</v>
      </c>
      <c r="W211" s="10">
        <v>0.18</v>
      </c>
      <c r="X211" s="11">
        <f t="shared" si="10"/>
        <v>9360</v>
      </c>
      <c r="Y211">
        <v>0</v>
      </c>
      <c r="Z211" s="11">
        <f t="shared" si="11"/>
        <v>61360</v>
      </c>
    </row>
    <row r="212" spans="1:26" ht="60">
      <c r="A212" s="4">
        <v>46198</v>
      </c>
      <c r="B212" s="5" t="s">
        <v>35</v>
      </c>
      <c r="C212" s="5" t="s">
        <v>35</v>
      </c>
      <c r="D212" s="5" t="s">
        <v>123</v>
      </c>
      <c r="E212" s="5" t="s">
        <v>124</v>
      </c>
      <c r="F212" s="6" t="s">
        <v>26</v>
      </c>
      <c r="G212" s="5" t="s">
        <v>125</v>
      </c>
      <c r="H212" s="5" t="s">
        <v>125</v>
      </c>
      <c r="I212" s="7" t="s">
        <v>28</v>
      </c>
      <c r="J212" s="8" t="s">
        <v>29</v>
      </c>
      <c r="K212" s="4">
        <v>46198</v>
      </c>
      <c r="L212" s="5" t="s">
        <v>126</v>
      </c>
      <c r="M212" s="8"/>
      <c r="N212" s="8"/>
      <c r="O212" s="5">
        <v>380060</v>
      </c>
      <c r="P212" s="9" t="s">
        <v>57</v>
      </c>
      <c r="Q212" s="9" t="s">
        <v>72</v>
      </c>
      <c r="R212" s="9" t="s">
        <v>90</v>
      </c>
      <c r="S212" s="9">
        <v>6</v>
      </c>
      <c r="T212" s="9" t="s">
        <v>34</v>
      </c>
      <c r="U212" s="5">
        <v>13900</v>
      </c>
      <c r="V212">
        <f t="shared" si="9"/>
        <v>83400</v>
      </c>
      <c r="W212" s="10">
        <v>0.18</v>
      </c>
      <c r="X212" s="11">
        <f t="shared" si="10"/>
        <v>15012</v>
      </c>
      <c r="Y212">
        <v>0</v>
      </c>
      <c r="Z212" s="11">
        <f t="shared" si="11"/>
        <v>98412</v>
      </c>
    </row>
    <row r="213" spans="1:26" ht="60">
      <c r="A213" s="4">
        <v>46199</v>
      </c>
      <c r="B213" s="5" t="s">
        <v>35</v>
      </c>
      <c r="C213" s="5" t="s">
        <v>35</v>
      </c>
      <c r="D213" s="5" t="s">
        <v>123</v>
      </c>
      <c r="E213" s="5" t="s">
        <v>124</v>
      </c>
      <c r="F213" s="6" t="s">
        <v>26</v>
      </c>
      <c r="G213" s="5" t="s">
        <v>125</v>
      </c>
      <c r="H213" s="5" t="s">
        <v>125</v>
      </c>
      <c r="I213" s="7" t="s">
        <v>28</v>
      </c>
      <c r="J213" s="8" t="s">
        <v>29</v>
      </c>
      <c r="K213" s="4">
        <v>46199</v>
      </c>
      <c r="L213" s="5" t="s">
        <v>126</v>
      </c>
      <c r="M213" s="8"/>
      <c r="N213" s="8"/>
      <c r="O213" s="5">
        <v>380060</v>
      </c>
      <c r="P213" s="9" t="s">
        <v>31</v>
      </c>
      <c r="Q213" s="9" t="s">
        <v>162</v>
      </c>
      <c r="R213" s="9" t="s">
        <v>41</v>
      </c>
      <c r="S213" s="9">
        <v>10</v>
      </c>
      <c r="T213" s="9" t="s">
        <v>34</v>
      </c>
      <c r="U213" s="5">
        <v>1740</v>
      </c>
      <c r="V213">
        <f t="shared" si="9"/>
        <v>17400</v>
      </c>
      <c r="W213" s="10">
        <v>0.18</v>
      </c>
      <c r="X213" s="11">
        <f t="shared" si="10"/>
        <v>3132</v>
      </c>
      <c r="Y213">
        <v>0</v>
      </c>
      <c r="Z213" s="11">
        <f t="shared" si="11"/>
        <v>20532</v>
      </c>
    </row>
    <row r="214" spans="1:26" ht="60">
      <c r="A214" s="4">
        <v>46199</v>
      </c>
      <c r="B214" s="5" t="s">
        <v>35</v>
      </c>
      <c r="C214" s="5" t="s">
        <v>35</v>
      </c>
      <c r="D214" s="5" t="s">
        <v>123</v>
      </c>
      <c r="E214" s="5" t="s">
        <v>124</v>
      </c>
      <c r="F214" s="6" t="s">
        <v>26</v>
      </c>
      <c r="G214" s="5" t="s">
        <v>125</v>
      </c>
      <c r="H214" s="5" t="s">
        <v>125</v>
      </c>
      <c r="I214" s="7" t="s">
        <v>28</v>
      </c>
      <c r="J214" s="8" t="s">
        <v>29</v>
      </c>
      <c r="K214" s="4">
        <v>46199</v>
      </c>
      <c r="L214" s="5" t="s">
        <v>126</v>
      </c>
      <c r="M214" s="8"/>
      <c r="N214" s="8"/>
      <c r="O214" s="5">
        <v>380060</v>
      </c>
      <c r="P214" s="9" t="s">
        <v>31</v>
      </c>
      <c r="Q214" s="9" t="s">
        <v>89</v>
      </c>
      <c r="R214" s="9" t="s">
        <v>41</v>
      </c>
      <c r="S214" s="9">
        <v>5</v>
      </c>
      <c r="T214" s="9" t="s">
        <v>34</v>
      </c>
      <c r="U214" s="5">
        <v>2895</v>
      </c>
      <c r="V214">
        <f t="shared" si="9"/>
        <v>14475</v>
      </c>
      <c r="W214" s="10">
        <v>0.18</v>
      </c>
      <c r="X214" s="11">
        <f t="shared" si="10"/>
        <v>2605.5</v>
      </c>
      <c r="Y214">
        <v>0</v>
      </c>
      <c r="Z214" s="11">
        <f t="shared" si="11"/>
        <v>17080.5</v>
      </c>
    </row>
    <row r="215" spans="1:26" ht="60">
      <c r="A215" s="4">
        <v>46199</v>
      </c>
      <c r="B215" s="5" t="s">
        <v>35</v>
      </c>
      <c r="C215" s="5" t="s">
        <v>35</v>
      </c>
      <c r="D215" s="5" t="s">
        <v>123</v>
      </c>
      <c r="E215" s="5" t="s">
        <v>124</v>
      </c>
      <c r="F215" s="6" t="s">
        <v>26</v>
      </c>
      <c r="G215" s="5" t="s">
        <v>125</v>
      </c>
      <c r="H215" s="5" t="s">
        <v>125</v>
      </c>
      <c r="I215" s="7" t="s">
        <v>28</v>
      </c>
      <c r="J215" s="8" t="s">
        <v>29</v>
      </c>
      <c r="K215" s="4">
        <v>46199</v>
      </c>
      <c r="L215" s="5" t="s">
        <v>126</v>
      </c>
      <c r="M215" s="8"/>
      <c r="N215" s="8"/>
      <c r="O215" s="5">
        <v>380060</v>
      </c>
      <c r="P215" s="9" t="s">
        <v>57</v>
      </c>
      <c r="Q215" s="9" t="s">
        <v>52</v>
      </c>
      <c r="R215" s="9" t="s">
        <v>90</v>
      </c>
      <c r="S215" s="9">
        <v>2</v>
      </c>
      <c r="T215" s="9" t="s">
        <v>34</v>
      </c>
      <c r="U215" s="5">
        <v>2600</v>
      </c>
      <c r="V215">
        <f t="shared" si="9"/>
        <v>5200</v>
      </c>
      <c r="W215" s="10">
        <v>0.18</v>
      </c>
      <c r="X215" s="11">
        <f t="shared" si="10"/>
        <v>936</v>
      </c>
      <c r="Y215">
        <v>0</v>
      </c>
      <c r="Z215" s="11">
        <f t="shared" si="11"/>
        <v>6136</v>
      </c>
    </row>
    <row r="216" spans="1:26" ht="60">
      <c r="A216" s="4">
        <v>46199</v>
      </c>
      <c r="B216" s="5" t="s">
        <v>35</v>
      </c>
      <c r="C216" s="5" t="s">
        <v>35</v>
      </c>
      <c r="D216" s="5" t="s">
        <v>123</v>
      </c>
      <c r="E216" s="5" t="s">
        <v>124</v>
      </c>
      <c r="F216" s="6" t="s">
        <v>26</v>
      </c>
      <c r="G216" s="5" t="s">
        <v>125</v>
      </c>
      <c r="H216" s="5" t="s">
        <v>125</v>
      </c>
      <c r="I216" s="7" t="s">
        <v>28</v>
      </c>
      <c r="J216" s="8" t="s">
        <v>29</v>
      </c>
      <c r="K216" s="4">
        <v>46199</v>
      </c>
      <c r="L216" s="5" t="s">
        <v>126</v>
      </c>
      <c r="M216" s="8"/>
      <c r="N216" s="8"/>
      <c r="O216" s="5">
        <v>380060</v>
      </c>
      <c r="P216" s="9" t="s">
        <v>31</v>
      </c>
      <c r="Q216" s="9" t="s">
        <v>115</v>
      </c>
      <c r="R216" s="9" t="s">
        <v>41</v>
      </c>
      <c r="S216" s="9">
        <v>12</v>
      </c>
      <c r="T216" s="9" t="s">
        <v>34</v>
      </c>
      <c r="U216" s="5">
        <v>795</v>
      </c>
      <c r="V216">
        <f t="shared" si="9"/>
        <v>9540</v>
      </c>
      <c r="W216" s="10">
        <v>0.18</v>
      </c>
      <c r="X216" s="11">
        <f t="shared" si="10"/>
        <v>1717.2</v>
      </c>
      <c r="Y216">
        <v>0</v>
      </c>
      <c r="Z216" s="11">
        <f t="shared" si="11"/>
        <v>11257.2</v>
      </c>
    </row>
    <row r="217" spans="1:26" ht="60">
      <c r="A217" s="4">
        <v>46199</v>
      </c>
      <c r="B217" s="5" t="s">
        <v>35</v>
      </c>
      <c r="C217" s="5" t="s">
        <v>35</v>
      </c>
      <c r="D217" s="5" t="s">
        <v>123</v>
      </c>
      <c r="E217" s="5" t="s">
        <v>124</v>
      </c>
      <c r="F217" s="6" t="s">
        <v>26</v>
      </c>
      <c r="G217" s="5" t="s">
        <v>125</v>
      </c>
      <c r="H217" s="5" t="s">
        <v>125</v>
      </c>
      <c r="I217" s="7" t="s">
        <v>28</v>
      </c>
      <c r="J217" s="8" t="s">
        <v>29</v>
      </c>
      <c r="K217" s="4">
        <v>46199</v>
      </c>
      <c r="L217" s="5" t="s">
        <v>126</v>
      </c>
      <c r="M217" s="8"/>
      <c r="N217" s="8"/>
      <c r="O217" s="5">
        <v>380060</v>
      </c>
      <c r="P217" s="9" t="s">
        <v>31</v>
      </c>
      <c r="Q217" s="9" t="s">
        <v>89</v>
      </c>
      <c r="R217" s="9" t="s">
        <v>41</v>
      </c>
      <c r="S217" s="9">
        <v>10</v>
      </c>
      <c r="T217" s="9" t="s">
        <v>34</v>
      </c>
      <c r="U217" s="5">
        <v>2895</v>
      </c>
      <c r="V217">
        <f t="shared" si="9"/>
        <v>28950</v>
      </c>
      <c r="W217" s="10">
        <v>0.18</v>
      </c>
      <c r="X217" s="11">
        <f t="shared" si="10"/>
        <v>5211</v>
      </c>
      <c r="Y217">
        <v>0</v>
      </c>
      <c r="Z217" s="11">
        <f t="shared" si="11"/>
        <v>34161</v>
      </c>
    </row>
    <row r="218" spans="1:26" ht="60">
      <c r="A218" s="4">
        <v>46199</v>
      </c>
      <c r="B218" s="5" t="s">
        <v>35</v>
      </c>
      <c r="C218" s="5" t="s">
        <v>35</v>
      </c>
      <c r="D218" s="5" t="s">
        <v>123</v>
      </c>
      <c r="E218" s="5" t="s">
        <v>124</v>
      </c>
      <c r="F218" s="6" t="s">
        <v>26</v>
      </c>
      <c r="G218" s="5" t="s">
        <v>125</v>
      </c>
      <c r="H218" s="5" t="s">
        <v>125</v>
      </c>
      <c r="I218" s="7" t="s">
        <v>28</v>
      </c>
      <c r="J218" s="8" t="s">
        <v>29</v>
      </c>
      <c r="K218" s="4">
        <v>46199</v>
      </c>
      <c r="L218" s="5" t="s">
        <v>126</v>
      </c>
      <c r="M218" s="8"/>
      <c r="N218" s="8"/>
      <c r="O218" s="5">
        <v>380060</v>
      </c>
      <c r="P218" s="9" t="s">
        <v>31</v>
      </c>
      <c r="Q218" s="9" t="s">
        <v>40</v>
      </c>
      <c r="R218" s="9" t="s">
        <v>41</v>
      </c>
      <c r="S218" s="9">
        <v>4</v>
      </c>
      <c r="T218" s="9" t="s">
        <v>34</v>
      </c>
      <c r="U218" s="5">
        <v>1995</v>
      </c>
      <c r="V218">
        <f t="shared" si="9"/>
        <v>7980</v>
      </c>
      <c r="W218" s="10">
        <v>0.18</v>
      </c>
      <c r="X218" s="11">
        <f t="shared" si="10"/>
        <v>1436.4</v>
      </c>
      <c r="Y218">
        <v>0</v>
      </c>
      <c r="Z218" s="11">
        <f t="shared" si="11"/>
        <v>9416.4</v>
      </c>
    </row>
    <row r="219" spans="1:26" ht="75">
      <c r="A219" s="4">
        <v>46202</v>
      </c>
      <c r="B219" s="5" t="s">
        <v>35</v>
      </c>
      <c r="C219" s="5" t="s">
        <v>35</v>
      </c>
      <c r="D219" s="5" t="s">
        <v>36</v>
      </c>
      <c r="E219" s="5" t="s">
        <v>37</v>
      </c>
      <c r="F219" s="6" t="s">
        <v>26</v>
      </c>
      <c r="G219" s="5" t="s">
        <v>38</v>
      </c>
      <c r="H219" s="5" t="s">
        <v>38</v>
      </c>
      <c r="I219" s="7" t="s">
        <v>28</v>
      </c>
      <c r="J219" s="8" t="s">
        <v>29</v>
      </c>
      <c r="K219" s="4">
        <v>46202</v>
      </c>
      <c r="L219" s="5" t="s">
        <v>39</v>
      </c>
      <c r="M219" s="8"/>
      <c r="N219" s="8"/>
      <c r="O219" s="5">
        <v>380060</v>
      </c>
      <c r="P219" s="9" t="s">
        <v>58</v>
      </c>
      <c r="Q219" s="9" t="s">
        <v>72</v>
      </c>
      <c r="R219" s="9" t="s">
        <v>41</v>
      </c>
      <c r="S219" s="9">
        <v>5</v>
      </c>
      <c r="T219" s="9" t="s">
        <v>67</v>
      </c>
      <c r="U219" s="5">
        <v>26000</v>
      </c>
      <c r="V219">
        <f t="shared" si="9"/>
        <v>130000</v>
      </c>
      <c r="W219" s="10">
        <v>0.18</v>
      </c>
      <c r="X219" s="11">
        <f t="shared" si="10"/>
        <v>23400</v>
      </c>
      <c r="Y219">
        <v>0</v>
      </c>
      <c r="Z219" s="11">
        <f t="shared" si="11"/>
        <v>153400</v>
      </c>
    </row>
    <row r="220" spans="1:26" ht="60">
      <c r="A220" s="4">
        <v>46202</v>
      </c>
      <c r="B220" s="5" t="s">
        <v>35</v>
      </c>
      <c r="C220" s="5" t="s">
        <v>35</v>
      </c>
      <c r="D220" s="5" t="s">
        <v>123</v>
      </c>
      <c r="E220" s="5" t="s">
        <v>124</v>
      </c>
      <c r="F220" s="6" t="s">
        <v>26</v>
      </c>
      <c r="G220" s="5" t="s">
        <v>125</v>
      </c>
      <c r="H220" s="5" t="s">
        <v>125</v>
      </c>
      <c r="I220" s="7" t="s">
        <v>28</v>
      </c>
      <c r="J220" s="8" t="s">
        <v>29</v>
      </c>
      <c r="K220" s="4">
        <v>46202</v>
      </c>
      <c r="L220" s="5" t="s">
        <v>126</v>
      </c>
      <c r="M220" s="8"/>
      <c r="N220" s="8"/>
      <c r="O220" s="5">
        <v>380060</v>
      </c>
      <c r="P220" s="9" t="s">
        <v>57</v>
      </c>
      <c r="Q220" s="9" t="s">
        <v>52</v>
      </c>
      <c r="R220" s="9" t="s">
        <v>90</v>
      </c>
      <c r="S220" s="9">
        <v>4</v>
      </c>
      <c r="T220" s="9" t="s">
        <v>34</v>
      </c>
      <c r="U220" s="5">
        <v>2600</v>
      </c>
      <c r="V220">
        <f t="shared" si="9"/>
        <v>10400</v>
      </c>
      <c r="W220" s="10">
        <v>0.18</v>
      </c>
      <c r="X220" s="11">
        <f t="shared" si="10"/>
        <v>1872</v>
      </c>
      <c r="Y220">
        <v>0</v>
      </c>
      <c r="Z220" s="11">
        <f t="shared" si="11"/>
        <v>12272</v>
      </c>
    </row>
    <row r="221" spans="1:26" ht="90">
      <c r="A221" s="4">
        <v>46202</v>
      </c>
      <c r="B221" s="5" t="s">
        <v>225</v>
      </c>
      <c r="C221" s="5" t="s">
        <v>225</v>
      </c>
      <c r="D221" s="5" t="s">
        <v>225</v>
      </c>
      <c r="E221" s="5" t="s">
        <v>226</v>
      </c>
      <c r="F221" s="6" t="s">
        <v>26</v>
      </c>
      <c r="G221" s="5" t="s">
        <v>227</v>
      </c>
      <c r="H221" s="5" t="s">
        <v>227</v>
      </c>
      <c r="I221" s="7" t="s">
        <v>28</v>
      </c>
      <c r="J221" s="8" t="s">
        <v>29</v>
      </c>
      <c r="K221" s="4">
        <v>46202</v>
      </c>
      <c r="L221" s="5" t="s">
        <v>228</v>
      </c>
      <c r="M221" s="8"/>
      <c r="N221" s="8"/>
      <c r="O221" s="5">
        <v>380015</v>
      </c>
      <c r="P221" s="9" t="s">
        <v>31</v>
      </c>
      <c r="Q221" s="9" t="s">
        <v>89</v>
      </c>
      <c r="R221" s="9" t="s">
        <v>41</v>
      </c>
      <c r="S221" s="9">
        <v>14</v>
      </c>
      <c r="T221" s="9" t="s">
        <v>34</v>
      </c>
      <c r="U221" s="5">
        <v>2895</v>
      </c>
      <c r="V221">
        <f t="shared" ref="V221:V267" si="12">U221*S221</f>
        <v>40530</v>
      </c>
      <c r="W221" s="10">
        <v>0.18</v>
      </c>
      <c r="X221" s="11">
        <f t="shared" ref="X221:X267" si="13">V221*W221</f>
        <v>7295.4</v>
      </c>
      <c r="Y221">
        <v>0</v>
      </c>
      <c r="Z221" s="11">
        <f t="shared" ref="Z221:Z267" si="14">V221+X221</f>
        <v>47825.4</v>
      </c>
    </row>
    <row r="222" spans="1:26" ht="90">
      <c r="A222" s="4">
        <v>46202</v>
      </c>
      <c r="B222" s="5" t="s">
        <v>225</v>
      </c>
      <c r="C222" s="5" t="s">
        <v>225</v>
      </c>
      <c r="D222" s="5" t="s">
        <v>225</v>
      </c>
      <c r="E222" s="5" t="s">
        <v>226</v>
      </c>
      <c r="F222" s="6" t="s">
        <v>26</v>
      </c>
      <c r="G222" s="5" t="s">
        <v>227</v>
      </c>
      <c r="H222" s="5" t="s">
        <v>227</v>
      </c>
      <c r="I222" s="7" t="s">
        <v>28</v>
      </c>
      <c r="J222" s="8" t="s">
        <v>29</v>
      </c>
      <c r="K222" s="4">
        <v>46202</v>
      </c>
      <c r="L222" s="5" t="s">
        <v>228</v>
      </c>
      <c r="M222" s="8"/>
      <c r="N222" s="8"/>
      <c r="O222" s="5">
        <v>380015</v>
      </c>
      <c r="P222" s="9" t="s">
        <v>31</v>
      </c>
      <c r="Q222" s="9" t="s">
        <v>163</v>
      </c>
      <c r="R222" s="9" t="s">
        <v>41</v>
      </c>
      <c r="S222" s="9">
        <v>1</v>
      </c>
      <c r="T222" s="9" t="s">
        <v>34</v>
      </c>
      <c r="U222" s="5">
        <v>6550</v>
      </c>
      <c r="V222">
        <f t="shared" si="12"/>
        <v>6550</v>
      </c>
      <c r="W222" s="10">
        <v>0.18</v>
      </c>
      <c r="X222" s="11">
        <f t="shared" si="13"/>
        <v>1179</v>
      </c>
      <c r="Y222">
        <v>0</v>
      </c>
      <c r="Z222" s="11">
        <f t="shared" si="14"/>
        <v>7729</v>
      </c>
    </row>
    <row r="223" spans="1:26" ht="60">
      <c r="A223" s="4">
        <v>46202</v>
      </c>
      <c r="B223" s="5" t="s">
        <v>110</v>
      </c>
      <c r="C223" s="5" t="s">
        <v>110</v>
      </c>
      <c r="D223" s="5" t="s">
        <v>111</v>
      </c>
      <c r="E223" s="5" t="s">
        <v>112</v>
      </c>
      <c r="F223" s="6" t="s">
        <v>26</v>
      </c>
      <c r="G223" s="5" t="s">
        <v>113</v>
      </c>
      <c r="H223" s="5" t="s">
        <v>113</v>
      </c>
      <c r="I223" s="7" t="s">
        <v>28</v>
      </c>
      <c r="J223" s="8" t="s">
        <v>29</v>
      </c>
      <c r="K223" s="4">
        <v>46202</v>
      </c>
      <c r="L223" s="5" t="s">
        <v>114</v>
      </c>
      <c r="M223" s="8"/>
      <c r="N223" s="8"/>
      <c r="O223" s="5">
        <v>380059</v>
      </c>
      <c r="P223" s="9" t="s">
        <v>31</v>
      </c>
      <c r="Q223" s="9" t="s">
        <v>162</v>
      </c>
      <c r="R223" s="9" t="s">
        <v>41</v>
      </c>
      <c r="S223" s="9">
        <v>20</v>
      </c>
      <c r="T223" s="9" t="s">
        <v>34</v>
      </c>
      <c r="U223" s="5">
        <v>1100</v>
      </c>
      <c r="V223">
        <f t="shared" si="12"/>
        <v>22000</v>
      </c>
      <c r="W223" s="10">
        <v>0.18</v>
      </c>
      <c r="X223" s="11">
        <f t="shared" si="13"/>
        <v>3960</v>
      </c>
      <c r="Y223">
        <v>0</v>
      </c>
      <c r="Z223" s="11">
        <f t="shared" si="14"/>
        <v>25960</v>
      </c>
    </row>
    <row r="224" spans="1:26" ht="90">
      <c r="A224" s="4">
        <v>46294</v>
      </c>
      <c r="B224" s="5" t="s">
        <v>207</v>
      </c>
      <c r="C224" s="5" t="s">
        <v>207</v>
      </c>
      <c r="D224" s="5" t="s">
        <v>207</v>
      </c>
      <c r="E224" s="5" t="s">
        <v>208</v>
      </c>
      <c r="F224" s="6" t="s">
        <v>26</v>
      </c>
      <c r="G224" s="5" t="s">
        <v>209</v>
      </c>
      <c r="H224" s="5" t="s">
        <v>209</v>
      </c>
      <c r="I224" s="7" t="s">
        <v>28</v>
      </c>
      <c r="J224" s="8" t="s">
        <v>29</v>
      </c>
      <c r="K224" s="4">
        <v>46294</v>
      </c>
      <c r="L224" s="5" t="s">
        <v>210</v>
      </c>
      <c r="M224" s="8"/>
      <c r="N224" s="8"/>
      <c r="O224" s="5">
        <v>361140</v>
      </c>
      <c r="P224" s="9" t="s">
        <v>143</v>
      </c>
      <c r="Q224" s="9" t="s">
        <v>281</v>
      </c>
      <c r="R224" s="9" t="s">
        <v>33</v>
      </c>
      <c r="S224" s="9">
        <v>215</v>
      </c>
      <c r="T224" s="9" t="s">
        <v>34</v>
      </c>
      <c r="U224" s="5">
        <v>2255</v>
      </c>
      <c r="V224">
        <f t="shared" si="12"/>
        <v>484825</v>
      </c>
      <c r="W224" s="10">
        <v>0.18</v>
      </c>
      <c r="X224" s="11">
        <f t="shared" si="13"/>
        <v>87268.5</v>
      </c>
      <c r="Y224">
        <v>0</v>
      </c>
      <c r="Z224" s="11">
        <f t="shared" si="14"/>
        <v>572093.5</v>
      </c>
    </row>
    <row r="225" spans="1:26" ht="75">
      <c r="A225" s="4">
        <v>46203</v>
      </c>
      <c r="B225" s="5" t="s">
        <v>282</v>
      </c>
      <c r="C225" s="5" t="s">
        <v>282</v>
      </c>
      <c r="D225" s="5" t="s">
        <v>282</v>
      </c>
      <c r="E225" s="5" t="s">
        <v>54</v>
      </c>
      <c r="F225" s="6" t="s">
        <v>26</v>
      </c>
      <c r="G225" s="5" t="s">
        <v>55</v>
      </c>
      <c r="H225" s="5" t="s">
        <v>55</v>
      </c>
      <c r="I225" s="7" t="s">
        <v>28</v>
      </c>
      <c r="J225" s="8" t="s">
        <v>29</v>
      </c>
      <c r="K225" s="4">
        <v>46203</v>
      </c>
      <c r="L225" s="5" t="s">
        <v>56</v>
      </c>
      <c r="M225" s="8"/>
      <c r="N225" s="8"/>
      <c r="O225" s="5">
        <v>382421</v>
      </c>
      <c r="P225" s="9" t="s">
        <v>58</v>
      </c>
      <c r="Q225" s="9" t="s">
        <v>32</v>
      </c>
      <c r="R225" s="9" t="s">
        <v>33</v>
      </c>
      <c r="S225" s="9">
        <v>25</v>
      </c>
      <c r="T225" s="9" t="s">
        <v>83</v>
      </c>
      <c r="U225" s="5">
        <v>8700</v>
      </c>
      <c r="V225">
        <f t="shared" si="12"/>
        <v>217500</v>
      </c>
      <c r="W225" s="10">
        <v>0.18</v>
      </c>
      <c r="X225" s="11">
        <f t="shared" si="13"/>
        <v>39150</v>
      </c>
      <c r="Y225">
        <v>0</v>
      </c>
      <c r="Z225" s="11">
        <f t="shared" si="14"/>
        <v>256650</v>
      </c>
    </row>
    <row r="226" spans="1:26" ht="75">
      <c r="A226" s="4">
        <v>46203</v>
      </c>
      <c r="B226" s="5" t="s">
        <v>283</v>
      </c>
      <c r="C226" s="5" t="s">
        <v>283</v>
      </c>
      <c r="D226" s="5" t="s">
        <v>283</v>
      </c>
      <c r="E226" s="5" t="s">
        <v>204</v>
      </c>
      <c r="F226" s="6" t="s">
        <v>26</v>
      </c>
      <c r="G226" s="5" t="s">
        <v>205</v>
      </c>
      <c r="H226" s="5" t="s">
        <v>205</v>
      </c>
      <c r="I226" s="7" t="s">
        <v>28</v>
      </c>
      <c r="J226" s="8" t="s">
        <v>29</v>
      </c>
      <c r="K226" s="4">
        <v>46203</v>
      </c>
      <c r="L226" s="5" t="s">
        <v>206</v>
      </c>
      <c r="M226" s="8"/>
      <c r="N226" s="8"/>
      <c r="O226" s="5">
        <v>382421</v>
      </c>
      <c r="P226" s="9" t="s">
        <v>31</v>
      </c>
      <c r="Q226" s="9" t="s">
        <v>109</v>
      </c>
      <c r="R226" s="9" t="s">
        <v>41</v>
      </c>
      <c r="S226" s="9">
        <v>1</v>
      </c>
      <c r="T226" s="9" t="s">
        <v>34</v>
      </c>
      <c r="U226" s="5">
        <v>878</v>
      </c>
      <c r="V226">
        <f t="shared" si="12"/>
        <v>878</v>
      </c>
      <c r="W226" s="10">
        <v>0.18</v>
      </c>
      <c r="X226" s="11">
        <f t="shared" si="13"/>
        <v>158.04</v>
      </c>
      <c r="Y226">
        <v>0</v>
      </c>
      <c r="Z226" s="11">
        <f t="shared" si="14"/>
        <v>1036.04</v>
      </c>
    </row>
    <row r="227" spans="1:26" ht="75">
      <c r="A227" s="4">
        <v>46203</v>
      </c>
      <c r="B227" s="5" t="s">
        <v>283</v>
      </c>
      <c r="C227" s="5" t="s">
        <v>283</v>
      </c>
      <c r="D227" s="5" t="s">
        <v>283</v>
      </c>
      <c r="E227" s="5" t="s">
        <v>204</v>
      </c>
      <c r="F227" s="6" t="s">
        <v>26</v>
      </c>
      <c r="G227" s="5" t="s">
        <v>205</v>
      </c>
      <c r="H227" s="5" t="s">
        <v>205</v>
      </c>
      <c r="I227" s="7" t="s">
        <v>28</v>
      </c>
      <c r="J227" s="8" t="s">
        <v>29</v>
      </c>
      <c r="K227" s="4">
        <v>46203</v>
      </c>
      <c r="L227" s="5" t="s">
        <v>206</v>
      </c>
      <c r="M227" s="8"/>
      <c r="N227" s="8"/>
      <c r="O227" s="5">
        <v>382421</v>
      </c>
      <c r="P227" s="9" t="s">
        <v>31</v>
      </c>
      <c r="Q227" s="9" t="s">
        <v>284</v>
      </c>
      <c r="R227" s="9" t="s">
        <v>41</v>
      </c>
      <c r="S227" s="9">
        <v>2</v>
      </c>
      <c r="T227" s="9" t="s">
        <v>34</v>
      </c>
      <c r="U227" s="5">
        <v>930</v>
      </c>
      <c r="V227">
        <f t="shared" si="12"/>
        <v>1860</v>
      </c>
      <c r="W227" s="10">
        <v>0.18</v>
      </c>
      <c r="X227" s="11">
        <f t="shared" si="13"/>
        <v>334.8</v>
      </c>
      <c r="Y227">
        <v>0</v>
      </c>
      <c r="Z227" s="11">
        <f t="shared" si="14"/>
        <v>2194.8000000000002</v>
      </c>
    </row>
    <row r="228" spans="1:26" ht="75">
      <c r="A228" s="4">
        <v>46203</v>
      </c>
      <c r="B228" s="5" t="s">
        <v>283</v>
      </c>
      <c r="C228" s="5" t="s">
        <v>283</v>
      </c>
      <c r="D228" s="5" t="s">
        <v>283</v>
      </c>
      <c r="E228" s="5" t="s">
        <v>204</v>
      </c>
      <c r="F228" s="6" t="s">
        <v>26</v>
      </c>
      <c r="G228" s="5" t="s">
        <v>205</v>
      </c>
      <c r="H228" s="5" t="s">
        <v>205</v>
      </c>
      <c r="I228" s="7" t="s">
        <v>28</v>
      </c>
      <c r="J228" s="8" t="s">
        <v>29</v>
      </c>
      <c r="K228" s="4">
        <v>46203</v>
      </c>
      <c r="L228" s="5" t="s">
        <v>206</v>
      </c>
      <c r="M228" s="8"/>
      <c r="N228" s="8"/>
      <c r="O228" s="5">
        <v>382421</v>
      </c>
      <c r="P228" s="9" t="s">
        <v>31</v>
      </c>
      <c r="Q228" s="9" t="s">
        <v>40</v>
      </c>
      <c r="R228" s="9" t="s">
        <v>41</v>
      </c>
      <c r="S228" s="9">
        <v>1</v>
      </c>
      <c r="T228" s="9" t="s">
        <v>34</v>
      </c>
      <c r="U228" s="5">
        <v>1297</v>
      </c>
      <c r="V228">
        <f t="shared" si="12"/>
        <v>1297</v>
      </c>
      <c r="W228" s="10">
        <v>0.18</v>
      </c>
      <c r="X228" s="11">
        <f t="shared" si="13"/>
        <v>233.46</v>
      </c>
      <c r="Y228">
        <v>0</v>
      </c>
      <c r="Z228" s="11">
        <f t="shared" si="14"/>
        <v>1530.46</v>
      </c>
    </row>
    <row r="229" spans="1:26" ht="75">
      <c r="A229" s="4">
        <v>46188</v>
      </c>
      <c r="B229" s="5" t="s">
        <v>117</v>
      </c>
      <c r="C229" s="5" t="s">
        <v>117</v>
      </c>
      <c r="D229" s="5" t="s">
        <v>117</v>
      </c>
      <c r="E229" s="5" t="s">
        <v>118</v>
      </c>
      <c r="F229" s="6" t="s">
        <v>26</v>
      </c>
      <c r="G229" s="5" t="s">
        <v>119</v>
      </c>
      <c r="H229" s="5" t="s">
        <v>119</v>
      </c>
      <c r="I229" s="7" t="s">
        <v>28</v>
      </c>
      <c r="J229" s="8" t="s">
        <v>29</v>
      </c>
      <c r="K229" s="4">
        <v>46188</v>
      </c>
      <c r="L229" s="5" t="s">
        <v>259</v>
      </c>
      <c r="M229" s="8"/>
      <c r="N229" s="8"/>
      <c r="O229" s="5">
        <v>390020</v>
      </c>
      <c r="P229" s="9" t="s">
        <v>31</v>
      </c>
      <c r="Q229" s="9" t="s">
        <v>72</v>
      </c>
      <c r="R229" s="9" t="s">
        <v>41</v>
      </c>
      <c r="S229" s="9">
        <v>7</v>
      </c>
      <c r="T229" s="9" t="s">
        <v>34</v>
      </c>
      <c r="U229" s="5">
        <v>13110</v>
      </c>
      <c r="V229">
        <f t="shared" si="12"/>
        <v>91770</v>
      </c>
      <c r="W229" s="10">
        <v>0.18</v>
      </c>
      <c r="X229" s="11">
        <f t="shared" si="13"/>
        <v>16518.599999999999</v>
      </c>
      <c r="Y229">
        <v>0</v>
      </c>
      <c r="Z229" s="11">
        <f t="shared" si="14"/>
        <v>108288.6</v>
      </c>
    </row>
    <row r="230" spans="1:26" ht="75">
      <c r="A230" s="4">
        <v>46188</v>
      </c>
      <c r="B230" s="5" t="s">
        <v>117</v>
      </c>
      <c r="C230" s="5" t="s">
        <v>117</v>
      </c>
      <c r="D230" s="5" t="s">
        <v>117</v>
      </c>
      <c r="E230" s="5" t="s">
        <v>118</v>
      </c>
      <c r="F230" s="6" t="s">
        <v>26</v>
      </c>
      <c r="G230" s="5" t="s">
        <v>119</v>
      </c>
      <c r="H230" s="5" t="s">
        <v>119</v>
      </c>
      <c r="I230" s="7" t="s">
        <v>28</v>
      </c>
      <c r="J230" s="8" t="s">
        <v>29</v>
      </c>
      <c r="K230" s="4">
        <v>46188</v>
      </c>
      <c r="L230" s="5" t="s">
        <v>259</v>
      </c>
      <c r="M230" s="8"/>
      <c r="N230" s="8"/>
      <c r="O230" s="5">
        <v>390020</v>
      </c>
      <c r="P230" s="9" t="s">
        <v>31</v>
      </c>
      <c r="Q230" s="9" t="s">
        <v>46</v>
      </c>
      <c r="R230" s="9" t="s">
        <v>41</v>
      </c>
      <c r="S230" s="9">
        <v>4</v>
      </c>
      <c r="T230" s="9" t="s">
        <v>34</v>
      </c>
      <c r="U230" s="5">
        <v>17100</v>
      </c>
      <c r="V230">
        <f t="shared" si="12"/>
        <v>68400</v>
      </c>
      <c r="W230" s="10">
        <v>0.18</v>
      </c>
      <c r="X230" s="11">
        <f t="shared" si="13"/>
        <v>12312</v>
      </c>
      <c r="Y230">
        <v>0</v>
      </c>
      <c r="Z230" s="11">
        <f t="shared" si="14"/>
        <v>80712</v>
      </c>
    </row>
    <row r="231" spans="1:26" ht="75">
      <c r="A231" s="4">
        <v>46188</v>
      </c>
      <c r="B231" s="5" t="s">
        <v>117</v>
      </c>
      <c r="C231" s="5" t="s">
        <v>117</v>
      </c>
      <c r="D231" s="5" t="s">
        <v>117</v>
      </c>
      <c r="E231" s="5" t="s">
        <v>118</v>
      </c>
      <c r="F231" s="6" t="s">
        <v>26</v>
      </c>
      <c r="G231" s="5" t="s">
        <v>119</v>
      </c>
      <c r="H231" s="5" t="s">
        <v>119</v>
      </c>
      <c r="I231" s="7" t="s">
        <v>28</v>
      </c>
      <c r="J231" s="8" t="s">
        <v>29</v>
      </c>
      <c r="K231" s="4">
        <v>46188</v>
      </c>
      <c r="L231" s="5" t="s">
        <v>259</v>
      </c>
      <c r="M231" s="8"/>
      <c r="N231" s="8"/>
      <c r="O231" s="5">
        <v>390020</v>
      </c>
      <c r="P231" s="9" t="s">
        <v>31</v>
      </c>
      <c r="Q231" s="9" t="s">
        <v>229</v>
      </c>
      <c r="R231" s="9" t="s">
        <v>50</v>
      </c>
      <c r="S231" s="9">
        <v>3</v>
      </c>
      <c r="T231" s="9" t="s">
        <v>34</v>
      </c>
      <c r="U231" s="5">
        <v>29460</v>
      </c>
      <c r="V231">
        <f t="shared" si="12"/>
        <v>88380</v>
      </c>
      <c r="W231" s="10">
        <v>0.18</v>
      </c>
      <c r="X231" s="11">
        <f t="shared" si="13"/>
        <v>15908.4</v>
      </c>
      <c r="Y231">
        <v>0</v>
      </c>
      <c r="Z231" s="11">
        <f t="shared" si="14"/>
        <v>104288.4</v>
      </c>
    </row>
    <row r="232" spans="1:26" ht="75">
      <c r="A232" s="4">
        <v>46203</v>
      </c>
      <c r="B232" s="5" t="s">
        <v>246</v>
      </c>
      <c r="C232" s="5" t="s">
        <v>246</v>
      </c>
      <c r="D232" s="5" t="s">
        <v>246</v>
      </c>
      <c r="E232" s="5" t="s">
        <v>247</v>
      </c>
      <c r="F232" s="6" t="s">
        <v>26</v>
      </c>
      <c r="G232" s="5" t="s">
        <v>248</v>
      </c>
      <c r="H232" s="5" t="s">
        <v>248</v>
      </c>
      <c r="I232" s="7" t="s">
        <v>28</v>
      </c>
      <c r="J232" s="8" t="s">
        <v>29</v>
      </c>
      <c r="K232" s="4">
        <v>46203</v>
      </c>
      <c r="L232" s="5" t="s">
        <v>249</v>
      </c>
      <c r="M232" s="8"/>
      <c r="N232" s="8"/>
      <c r="O232" s="5">
        <v>361006</v>
      </c>
      <c r="P232" s="9" t="s">
        <v>31</v>
      </c>
      <c r="Q232" s="9" t="s">
        <v>229</v>
      </c>
      <c r="R232" s="9" t="s">
        <v>41</v>
      </c>
      <c r="S232" s="9">
        <v>5</v>
      </c>
      <c r="T232" s="9" t="s">
        <v>34</v>
      </c>
      <c r="U232" s="5">
        <v>16500</v>
      </c>
      <c r="V232">
        <f t="shared" si="12"/>
        <v>82500</v>
      </c>
      <c r="W232" s="10">
        <v>0.18</v>
      </c>
      <c r="X232" s="11">
        <f t="shared" si="13"/>
        <v>14850</v>
      </c>
      <c r="Y232">
        <v>0</v>
      </c>
      <c r="Z232" s="11">
        <f t="shared" si="14"/>
        <v>97350</v>
      </c>
    </row>
    <row r="233" spans="1:26" ht="75">
      <c r="A233" s="4">
        <v>46203</v>
      </c>
      <c r="B233" s="5" t="s">
        <v>35</v>
      </c>
      <c r="C233" s="5" t="s">
        <v>35</v>
      </c>
      <c r="D233" s="5" t="s">
        <v>36</v>
      </c>
      <c r="E233" s="5" t="s">
        <v>37</v>
      </c>
      <c r="F233" s="6" t="s">
        <v>26</v>
      </c>
      <c r="G233" s="5" t="s">
        <v>38</v>
      </c>
      <c r="H233" s="5" t="s">
        <v>38</v>
      </c>
      <c r="I233" s="7" t="s">
        <v>28</v>
      </c>
      <c r="J233" s="8" t="s">
        <v>29</v>
      </c>
      <c r="K233" s="4">
        <v>46203</v>
      </c>
      <c r="L233" s="5" t="s">
        <v>39</v>
      </c>
      <c r="M233" s="8"/>
      <c r="N233" s="8"/>
      <c r="O233" s="5">
        <v>380060</v>
      </c>
      <c r="P233" s="9" t="s">
        <v>58</v>
      </c>
      <c r="Q233" s="9" t="s">
        <v>72</v>
      </c>
      <c r="R233" s="9" t="s">
        <v>41</v>
      </c>
      <c r="S233" s="9">
        <v>2</v>
      </c>
      <c r="T233" s="9" t="s">
        <v>67</v>
      </c>
      <c r="U233" s="5">
        <v>26000</v>
      </c>
      <c r="V233">
        <f t="shared" si="12"/>
        <v>52000</v>
      </c>
      <c r="W233" s="10">
        <v>0.18</v>
      </c>
      <c r="X233" s="11">
        <f t="shared" si="13"/>
        <v>9360</v>
      </c>
      <c r="Y233">
        <v>0</v>
      </c>
      <c r="Z233" s="11">
        <f t="shared" si="14"/>
        <v>61360</v>
      </c>
    </row>
    <row r="234" spans="1:26" ht="90">
      <c r="A234" s="4">
        <v>46204</v>
      </c>
      <c r="B234" s="5" t="s">
        <v>225</v>
      </c>
      <c r="C234" s="5" t="s">
        <v>225</v>
      </c>
      <c r="D234" s="5" t="s">
        <v>225</v>
      </c>
      <c r="E234" s="5" t="s">
        <v>226</v>
      </c>
      <c r="F234" s="6" t="s">
        <v>26</v>
      </c>
      <c r="G234" s="5" t="s">
        <v>227</v>
      </c>
      <c r="H234" s="5" t="s">
        <v>227</v>
      </c>
      <c r="I234" s="7" t="s">
        <v>28</v>
      </c>
      <c r="J234" s="8" t="s">
        <v>29</v>
      </c>
      <c r="K234" s="4">
        <v>46204</v>
      </c>
      <c r="L234" s="5" t="s">
        <v>228</v>
      </c>
      <c r="M234" s="8"/>
      <c r="N234" s="8"/>
      <c r="O234" s="5">
        <v>380015</v>
      </c>
      <c r="P234" s="9" t="s">
        <v>31</v>
      </c>
      <c r="Q234" s="9" t="s">
        <v>32</v>
      </c>
      <c r="R234" s="9" t="s">
        <v>33</v>
      </c>
      <c r="S234" s="9">
        <v>4</v>
      </c>
      <c r="T234" s="9" t="s">
        <v>34</v>
      </c>
      <c r="U234" s="5">
        <v>10300</v>
      </c>
      <c r="V234">
        <f t="shared" si="12"/>
        <v>41200</v>
      </c>
      <c r="W234" s="10">
        <v>0.18</v>
      </c>
      <c r="X234" s="11">
        <f t="shared" si="13"/>
        <v>7416</v>
      </c>
      <c r="Y234">
        <v>0</v>
      </c>
      <c r="Z234" s="11">
        <f t="shared" si="14"/>
        <v>48616</v>
      </c>
    </row>
    <row r="235" spans="1:26" ht="90">
      <c r="A235" s="4">
        <v>46204</v>
      </c>
      <c r="B235" s="5" t="s">
        <v>225</v>
      </c>
      <c r="C235" s="5" t="s">
        <v>225</v>
      </c>
      <c r="D235" s="5" t="s">
        <v>225</v>
      </c>
      <c r="E235" s="5" t="s">
        <v>226</v>
      </c>
      <c r="F235" s="6" t="s">
        <v>26</v>
      </c>
      <c r="G235" s="5" t="s">
        <v>227</v>
      </c>
      <c r="H235" s="5" t="s">
        <v>227</v>
      </c>
      <c r="I235" s="7" t="s">
        <v>28</v>
      </c>
      <c r="J235" s="8" t="s">
        <v>29</v>
      </c>
      <c r="K235" s="4">
        <v>46204</v>
      </c>
      <c r="L235" s="5" t="s">
        <v>228</v>
      </c>
      <c r="M235" s="8"/>
      <c r="N235" s="8"/>
      <c r="O235" s="5">
        <v>380015</v>
      </c>
      <c r="P235" s="9" t="s">
        <v>31</v>
      </c>
      <c r="Q235" s="9" t="s">
        <v>230</v>
      </c>
      <c r="R235" s="9" t="s">
        <v>33</v>
      </c>
      <c r="S235" s="9">
        <v>1</v>
      </c>
      <c r="T235" s="9" t="s">
        <v>34</v>
      </c>
      <c r="U235" s="5">
        <v>12950</v>
      </c>
      <c r="V235">
        <f t="shared" si="12"/>
        <v>12950</v>
      </c>
      <c r="W235" s="10">
        <v>0.18</v>
      </c>
      <c r="X235" s="11">
        <f t="shared" si="13"/>
        <v>2331</v>
      </c>
      <c r="Y235">
        <v>0</v>
      </c>
      <c r="Z235" s="11">
        <f t="shared" si="14"/>
        <v>15281</v>
      </c>
    </row>
    <row r="236" spans="1:26" ht="75">
      <c r="A236" s="4">
        <v>46029</v>
      </c>
      <c r="B236" s="5" t="s">
        <v>285</v>
      </c>
      <c r="C236" s="5" t="s">
        <v>285</v>
      </c>
      <c r="D236" s="5" t="s">
        <v>285</v>
      </c>
      <c r="E236" s="5" t="s">
        <v>286</v>
      </c>
      <c r="F236" s="6" t="s">
        <v>26</v>
      </c>
      <c r="G236" s="5" t="s">
        <v>287</v>
      </c>
      <c r="H236" s="5" t="s">
        <v>287</v>
      </c>
      <c r="I236" s="7" t="s">
        <v>28</v>
      </c>
      <c r="J236" s="8" t="s">
        <v>29</v>
      </c>
      <c r="K236" s="4">
        <v>46029</v>
      </c>
      <c r="L236" s="5" t="s">
        <v>288</v>
      </c>
      <c r="M236" s="8"/>
      <c r="N236" s="8"/>
      <c r="O236" s="5">
        <v>382441</v>
      </c>
      <c r="P236" s="9" t="s">
        <v>31</v>
      </c>
      <c r="Q236" s="9" t="s">
        <v>72</v>
      </c>
      <c r="R236" s="9" t="s">
        <v>47</v>
      </c>
      <c r="S236" s="9">
        <v>12</v>
      </c>
      <c r="T236" s="9" t="s">
        <v>34</v>
      </c>
      <c r="U236" s="5">
        <v>21999</v>
      </c>
      <c r="V236">
        <f t="shared" si="12"/>
        <v>263988</v>
      </c>
      <c r="W236" s="10">
        <v>0.18</v>
      </c>
      <c r="X236" s="11">
        <f t="shared" si="13"/>
        <v>47517.84</v>
      </c>
      <c r="Y236">
        <v>0</v>
      </c>
      <c r="Z236" s="11">
        <f t="shared" si="14"/>
        <v>311505.84000000003</v>
      </c>
    </row>
    <row r="237" spans="1:26" ht="75">
      <c r="A237" s="4">
        <v>46029</v>
      </c>
      <c r="B237" s="5" t="s">
        <v>285</v>
      </c>
      <c r="C237" s="5" t="s">
        <v>285</v>
      </c>
      <c r="D237" s="5" t="s">
        <v>285</v>
      </c>
      <c r="E237" s="5" t="s">
        <v>286</v>
      </c>
      <c r="F237" s="6" t="s">
        <v>26</v>
      </c>
      <c r="G237" s="5" t="s">
        <v>287</v>
      </c>
      <c r="H237" s="5" t="s">
        <v>287</v>
      </c>
      <c r="I237" s="7" t="s">
        <v>28</v>
      </c>
      <c r="J237" s="8" t="s">
        <v>29</v>
      </c>
      <c r="K237" s="4">
        <v>46029</v>
      </c>
      <c r="L237" s="5" t="s">
        <v>288</v>
      </c>
      <c r="M237" s="8"/>
      <c r="N237" s="8"/>
      <c r="O237" s="5">
        <v>382441</v>
      </c>
      <c r="P237" s="9" t="s">
        <v>58</v>
      </c>
      <c r="Q237" s="9" t="s">
        <v>72</v>
      </c>
      <c r="R237" s="9" t="s">
        <v>47</v>
      </c>
      <c r="S237" s="9">
        <v>4</v>
      </c>
      <c r="T237" s="9" t="s">
        <v>67</v>
      </c>
      <c r="U237" s="5">
        <v>28900</v>
      </c>
      <c r="V237">
        <f t="shared" si="12"/>
        <v>115600</v>
      </c>
      <c r="W237" s="10">
        <v>0.18</v>
      </c>
      <c r="X237" s="11">
        <f t="shared" si="13"/>
        <v>20808</v>
      </c>
      <c r="Y237">
        <v>0</v>
      </c>
      <c r="Z237" s="11">
        <f t="shared" si="14"/>
        <v>136408</v>
      </c>
    </row>
    <row r="238" spans="1:26" ht="75">
      <c r="A238" s="4">
        <v>46029</v>
      </c>
      <c r="B238" s="5" t="s">
        <v>285</v>
      </c>
      <c r="C238" s="5" t="s">
        <v>285</v>
      </c>
      <c r="D238" s="5" t="s">
        <v>285</v>
      </c>
      <c r="E238" s="5" t="s">
        <v>286</v>
      </c>
      <c r="F238" s="6" t="s">
        <v>26</v>
      </c>
      <c r="G238" s="5" t="s">
        <v>287</v>
      </c>
      <c r="H238" s="5" t="s">
        <v>287</v>
      </c>
      <c r="I238" s="7" t="s">
        <v>28</v>
      </c>
      <c r="J238" s="8" t="s">
        <v>29</v>
      </c>
      <c r="K238" s="4">
        <v>46029</v>
      </c>
      <c r="L238" s="5" t="s">
        <v>288</v>
      </c>
      <c r="M238" s="8"/>
      <c r="N238" s="8"/>
      <c r="O238" s="5">
        <v>382441</v>
      </c>
      <c r="P238" s="9" t="s">
        <v>57</v>
      </c>
      <c r="Q238" s="9" t="s">
        <v>32</v>
      </c>
      <c r="R238" s="9" t="s">
        <v>47</v>
      </c>
      <c r="S238" s="9">
        <v>36</v>
      </c>
      <c r="T238" s="9" t="s">
        <v>34</v>
      </c>
      <c r="U238" s="5">
        <v>9545</v>
      </c>
      <c r="V238">
        <f t="shared" si="12"/>
        <v>343620</v>
      </c>
      <c r="W238" s="10">
        <v>0.18</v>
      </c>
      <c r="X238" s="11">
        <f t="shared" si="13"/>
        <v>61851.6</v>
      </c>
      <c r="Y238">
        <v>0</v>
      </c>
      <c r="Z238" s="11">
        <f t="shared" si="14"/>
        <v>405471.6</v>
      </c>
    </row>
    <row r="239" spans="1:26" ht="75">
      <c r="A239" s="4">
        <v>46029</v>
      </c>
      <c r="B239" s="5" t="s">
        <v>285</v>
      </c>
      <c r="C239" s="5" t="s">
        <v>285</v>
      </c>
      <c r="D239" s="5" t="s">
        <v>285</v>
      </c>
      <c r="E239" s="5" t="s">
        <v>286</v>
      </c>
      <c r="F239" s="6" t="s">
        <v>26</v>
      </c>
      <c r="G239" s="5" t="s">
        <v>287</v>
      </c>
      <c r="H239" s="5" t="s">
        <v>287</v>
      </c>
      <c r="I239" s="7" t="s">
        <v>28</v>
      </c>
      <c r="J239" s="8" t="s">
        <v>29</v>
      </c>
      <c r="K239" s="4">
        <v>46029</v>
      </c>
      <c r="L239" s="5" t="s">
        <v>288</v>
      </c>
      <c r="M239" s="8"/>
      <c r="N239" s="8"/>
      <c r="O239" s="5">
        <v>382441</v>
      </c>
      <c r="P239" s="9" t="s">
        <v>57</v>
      </c>
      <c r="Q239" s="9" t="s">
        <v>32</v>
      </c>
      <c r="R239" s="9" t="s">
        <v>50</v>
      </c>
      <c r="S239" s="9">
        <v>19</v>
      </c>
      <c r="T239" s="9" t="s">
        <v>34</v>
      </c>
      <c r="U239" s="5">
        <v>7299</v>
      </c>
      <c r="V239">
        <f t="shared" si="12"/>
        <v>138681</v>
      </c>
      <c r="W239" s="10">
        <v>0.18</v>
      </c>
      <c r="X239" s="11">
        <f t="shared" si="13"/>
        <v>24962.58</v>
      </c>
      <c r="Y239">
        <v>0</v>
      </c>
      <c r="Z239" s="11">
        <f t="shared" si="14"/>
        <v>163643.57999999999</v>
      </c>
    </row>
    <row r="240" spans="1:26" ht="75">
      <c r="A240" s="4">
        <v>46029</v>
      </c>
      <c r="B240" s="5" t="s">
        <v>285</v>
      </c>
      <c r="C240" s="5" t="s">
        <v>285</v>
      </c>
      <c r="D240" s="5" t="s">
        <v>285</v>
      </c>
      <c r="E240" s="5" t="s">
        <v>286</v>
      </c>
      <c r="F240" s="6" t="s">
        <v>26</v>
      </c>
      <c r="G240" s="5" t="s">
        <v>287</v>
      </c>
      <c r="H240" s="5" t="s">
        <v>287</v>
      </c>
      <c r="I240" s="7" t="s">
        <v>28</v>
      </c>
      <c r="J240" s="8" t="s">
        <v>29</v>
      </c>
      <c r="K240" s="4">
        <v>46029</v>
      </c>
      <c r="L240" s="5" t="s">
        <v>288</v>
      </c>
      <c r="M240" s="8"/>
      <c r="N240" s="8"/>
      <c r="O240" s="5">
        <v>382441</v>
      </c>
      <c r="P240" s="9" t="s">
        <v>58</v>
      </c>
      <c r="Q240" s="9" t="s">
        <v>32</v>
      </c>
      <c r="R240" s="9" t="s">
        <v>47</v>
      </c>
      <c r="S240" s="9">
        <v>9</v>
      </c>
      <c r="T240" s="9" t="s">
        <v>67</v>
      </c>
      <c r="U240" s="5">
        <v>12000</v>
      </c>
      <c r="V240">
        <f t="shared" si="12"/>
        <v>108000</v>
      </c>
      <c r="W240" s="10">
        <v>0.18</v>
      </c>
      <c r="X240" s="11">
        <f t="shared" si="13"/>
        <v>19440</v>
      </c>
      <c r="Y240">
        <v>0</v>
      </c>
      <c r="Z240" s="11">
        <f t="shared" si="14"/>
        <v>127440</v>
      </c>
    </row>
    <row r="241" spans="1:26" ht="75">
      <c r="A241" s="4">
        <v>46029</v>
      </c>
      <c r="B241" s="5" t="s">
        <v>285</v>
      </c>
      <c r="C241" s="5" t="s">
        <v>285</v>
      </c>
      <c r="D241" s="5" t="s">
        <v>285</v>
      </c>
      <c r="E241" s="5" t="s">
        <v>286</v>
      </c>
      <c r="F241" s="6" t="s">
        <v>26</v>
      </c>
      <c r="G241" s="5" t="s">
        <v>287</v>
      </c>
      <c r="H241" s="5" t="s">
        <v>287</v>
      </c>
      <c r="I241" s="7" t="s">
        <v>28</v>
      </c>
      <c r="J241" s="8" t="s">
        <v>29</v>
      </c>
      <c r="K241" s="4">
        <v>46029</v>
      </c>
      <c r="L241" s="5" t="s">
        <v>288</v>
      </c>
      <c r="M241" s="8"/>
      <c r="N241" s="8"/>
      <c r="O241" s="5">
        <v>382441</v>
      </c>
      <c r="P241" s="9" t="s">
        <v>57</v>
      </c>
      <c r="Q241" s="9" t="s">
        <v>276</v>
      </c>
      <c r="R241" s="9" t="s">
        <v>50</v>
      </c>
      <c r="S241" s="9">
        <v>11</v>
      </c>
      <c r="T241" s="9" t="s">
        <v>289</v>
      </c>
      <c r="U241" s="5">
        <v>7299</v>
      </c>
      <c r="V241">
        <f t="shared" si="12"/>
        <v>80289</v>
      </c>
      <c r="W241" s="10">
        <v>0.18</v>
      </c>
      <c r="X241" s="11">
        <f t="shared" si="13"/>
        <v>14452.02</v>
      </c>
      <c r="Y241">
        <v>0</v>
      </c>
      <c r="Z241" s="11">
        <f t="shared" si="14"/>
        <v>94741.02</v>
      </c>
    </row>
    <row r="242" spans="1:26" ht="45">
      <c r="A242" s="4">
        <v>38755</v>
      </c>
      <c r="B242" s="5" t="s">
        <v>185</v>
      </c>
      <c r="C242" s="5" t="s">
        <v>185</v>
      </c>
      <c r="D242" s="5" t="s">
        <v>185</v>
      </c>
      <c r="E242" s="5" t="s">
        <v>186</v>
      </c>
      <c r="F242" s="6" t="s">
        <v>26</v>
      </c>
      <c r="G242" s="5" t="s">
        <v>187</v>
      </c>
      <c r="H242" s="5" t="s">
        <v>187</v>
      </c>
      <c r="I242" s="7" t="s">
        <v>28</v>
      </c>
      <c r="J242" s="8" t="s">
        <v>29</v>
      </c>
      <c r="K242" s="4">
        <v>38755</v>
      </c>
      <c r="L242" s="5" t="s">
        <v>290</v>
      </c>
      <c r="M242" s="8"/>
      <c r="N242" s="8"/>
      <c r="O242" s="5">
        <v>361001</v>
      </c>
      <c r="P242" s="9" t="s">
        <v>31</v>
      </c>
      <c r="Q242" s="9" t="s">
        <v>48</v>
      </c>
      <c r="R242" s="9" t="s">
        <v>41</v>
      </c>
      <c r="S242" s="9">
        <v>42</v>
      </c>
      <c r="T242" s="9" t="s">
        <v>189</v>
      </c>
      <c r="U242" s="5">
        <v>4600</v>
      </c>
      <c r="V242">
        <f t="shared" si="12"/>
        <v>193200</v>
      </c>
      <c r="W242" s="10">
        <v>0.18</v>
      </c>
      <c r="X242" s="11">
        <f t="shared" si="13"/>
        <v>34776</v>
      </c>
      <c r="Y242">
        <v>0</v>
      </c>
      <c r="Z242" s="11">
        <f t="shared" si="14"/>
        <v>227976</v>
      </c>
    </row>
    <row r="243" spans="1:26" ht="45">
      <c r="A243" s="4">
        <v>38755</v>
      </c>
      <c r="B243" s="5" t="s">
        <v>185</v>
      </c>
      <c r="C243" s="5" t="s">
        <v>185</v>
      </c>
      <c r="D243" s="5" t="s">
        <v>185</v>
      </c>
      <c r="E243" s="5" t="s">
        <v>186</v>
      </c>
      <c r="F243" s="6" t="s">
        <v>26</v>
      </c>
      <c r="G243" s="5" t="s">
        <v>187</v>
      </c>
      <c r="H243" s="5" t="s">
        <v>187</v>
      </c>
      <c r="I243" s="7" t="s">
        <v>28</v>
      </c>
      <c r="J243" s="8" t="s">
        <v>29</v>
      </c>
      <c r="K243" s="4">
        <v>38755</v>
      </c>
      <c r="L243" s="5" t="s">
        <v>290</v>
      </c>
      <c r="M243" s="8"/>
      <c r="N243" s="8"/>
      <c r="O243" s="5">
        <v>361001</v>
      </c>
      <c r="P243" s="9" t="s">
        <v>31</v>
      </c>
      <c r="Q243" s="9" t="s">
        <v>32</v>
      </c>
      <c r="R243" s="9" t="s">
        <v>41</v>
      </c>
      <c r="S243" s="9">
        <v>5</v>
      </c>
      <c r="T243" s="9" t="s">
        <v>189</v>
      </c>
      <c r="U243" s="5">
        <v>6950</v>
      </c>
      <c r="V243">
        <f t="shared" si="12"/>
        <v>34750</v>
      </c>
      <c r="W243" s="10">
        <v>0.18</v>
      </c>
      <c r="X243" s="11">
        <f t="shared" si="13"/>
        <v>6255</v>
      </c>
      <c r="Y243">
        <v>0</v>
      </c>
      <c r="Z243" s="11">
        <f t="shared" si="14"/>
        <v>41005</v>
      </c>
    </row>
    <row r="244" spans="1:26" ht="45">
      <c r="A244" s="4">
        <v>38755</v>
      </c>
      <c r="B244" s="5" t="s">
        <v>185</v>
      </c>
      <c r="C244" s="5" t="s">
        <v>185</v>
      </c>
      <c r="D244" s="5" t="s">
        <v>185</v>
      </c>
      <c r="E244" s="5" t="s">
        <v>186</v>
      </c>
      <c r="F244" s="6" t="s">
        <v>26</v>
      </c>
      <c r="G244" s="5" t="s">
        <v>187</v>
      </c>
      <c r="H244" s="5" t="s">
        <v>187</v>
      </c>
      <c r="I244" s="7" t="s">
        <v>28</v>
      </c>
      <c r="J244" s="8" t="s">
        <v>29</v>
      </c>
      <c r="K244" s="4">
        <v>38755</v>
      </c>
      <c r="L244" s="5" t="s">
        <v>290</v>
      </c>
      <c r="M244" s="8"/>
      <c r="N244" s="8"/>
      <c r="O244" s="5">
        <v>361001</v>
      </c>
      <c r="P244" s="9" t="s">
        <v>57</v>
      </c>
      <c r="Q244" s="9" t="s">
        <v>32</v>
      </c>
      <c r="R244" s="9" t="s">
        <v>41</v>
      </c>
      <c r="S244" s="9">
        <v>9</v>
      </c>
      <c r="T244" s="9" t="s">
        <v>189</v>
      </c>
      <c r="U244" s="5">
        <v>8000</v>
      </c>
      <c r="V244">
        <f t="shared" si="12"/>
        <v>72000</v>
      </c>
      <c r="W244" s="10">
        <v>0.18</v>
      </c>
      <c r="X244" s="11">
        <f t="shared" si="13"/>
        <v>12960</v>
      </c>
      <c r="Y244">
        <v>0</v>
      </c>
      <c r="Z244" s="11">
        <f t="shared" si="14"/>
        <v>84960</v>
      </c>
    </row>
    <row r="245" spans="1:26" ht="45">
      <c r="A245" s="4">
        <v>38755</v>
      </c>
      <c r="B245" s="5" t="s">
        <v>185</v>
      </c>
      <c r="C245" s="5" t="s">
        <v>185</v>
      </c>
      <c r="D245" s="5" t="s">
        <v>185</v>
      </c>
      <c r="E245" s="5" t="s">
        <v>186</v>
      </c>
      <c r="F245" s="6" t="s">
        <v>26</v>
      </c>
      <c r="G245" s="5" t="s">
        <v>187</v>
      </c>
      <c r="H245" s="5" t="s">
        <v>187</v>
      </c>
      <c r="I245" s="7" t="s">
        <v>28</v>
      </c>
      <c r="J245" s="8" t="s">
        <v>29</v>
      </c>
      <c r="K245" s="4">
        <v>38755</v>
      </c>
      <c r="L245" s="5" t="s">
        <v>290</v>
      </c>
      <c r="M245" s="8"/>
      <c r="N245" s="8"/>
      <c r="O245" s="5">
        <v>361001</v>
      </c>
      <c r="P245" s="9" t="s">
        <v>31</v>
      </c>
      <c r="Q245" s="9" t="s">
        <v>72</v>
      </c>
      <c r="R245" s="9" t="s">
        <v>41</v>
      </c>
      <c r="S245" s="9">
        <v>12</v>
      </c>
      <c r="T245" s="9" t="s">
        <v>34</v>
      </c>
      <c r="U245" s="5">
        <v>13110</v>
      </c>
      <c r="V245">
        <f t="shared" si="12"/>
        <v>157320</v>
      </c>
      <c r="W245" s="10">
        <v>0.18</v>
      </c>
      <c r="X245" s="11">
        <f t="shared" si="13"/>
        <v>28317.599999999999</v>
      </c>
      <c r="Y245">
        <v>0</v>
      </c>
      <c r="Z245" s="11">
        <f t="shared" si="14"/>
        <v>185637.6</v>
      </c>
    </row>
    <row r="246" spans="1:26" ht="45">
      <c r="A246" s="4">
        <v>38755</v>
      </c>
      <c r="B246" s="5" t="s">
        <v>185</v>
      </c>
      <c r="C246" s="5" t="s">
        <v>185</v>
      </c>
      <c r="D246" s="5" t="s">
        <v>185</v>
      </c>
      <c r="E246" s="5" t="s">
        <v>186</v>
      </c>
      <c r="F246" s="6" t="s">
        <v>26</v>
      </c>
      <c r="G246" s="5" t="s">
        <v>187</v>
      </c>
      <c r="H246" s="5" t="s">
        <v>187</v>
      </c>
      <c r="I246" s="7" t="s">
        <v>28</v>
      </c>
      <c r="J246" s="8" t="s">
        <v>29</v>
      </c>
      <c r="K246" s="4">
        <v>38755</v>
      </c>
      <c r="L246" s="5" t="s">
        <v>290</v>
      </c>
      <c r="M246" s="8"/>
      <c r="N246" s="8"/>
      <c r="O246" s="5">
        <v>361001</v>
      </c>
      <c r="P246" s="9" t="s">
        <v>31</v>
      </c>
      <c r="Q246" s="9" t="s">
        <v>32</v>
      </c>
      <c r="R246" s="9" t="s">
        <v>41</v>
      </c>
      <c r="S246" s="9">
        <v>5</v>
      </c>
      <c r="T246" s="9" t="s">
        <v>34</v>
      </c>
      <c r="U246" s="5">
        <v>6950</v>
      </c>
      <c r="V246">
        <f t="shared" si="12"/>
        <v>34750</v>
      </c>
      <c r="W246" s="10">
        <v>0.18</v>
      </c>
      <c r="X246" s="11">
        <f t="shared" si="13"/>
        <v>6255</v>
      </c>
      <c r="Y246">
        <v>0</v>
      </c>
      <c r="Z246" s="11">
        <f t="shared" si="14"/>
        <v>41005</v>
      </c>
    </row>
    <row r="247" spans="1:26" ht="75">
      <c r="A247" s="9" t="s">
        <v>291</v>
      </c>
      <c r="B247" s="5" t="s">
        <v>79</v>
      </c>
      <c r="C247" s="5" t="s">
        <v>79</v>
      </c>
      <c r="D247" s="5" t="s">
        <v>79</v>
      </c>
      <c r="E247" s="5" t="s">
        <v>80</v>
      </c>
      <c r="F247" s="6" t="s">
        <v>26</v>
      </c>
      <c r="G247" s="5" t="s">
        <v>81</v>
      </c>
      <c r="H247" s="5" t="s">
        <v>81</v>
      </c>
      <c r="I247" s="7" t="s">
        <v>28</v>
      </c>
      <c r="J247" s="8" t="s">
        <v>29</v>
      </c>
      <c r="K247" s="9" t="s">
        <v>291</v>
      </c>
      <c r="L247" s="5" t="s">
        <v>82</v>
      </c>
      <c r="M247" s="8"/>
      <c r="N247" s="8"/>
      <c r="O247" s="5">
        <v>371004</v>
      </c>
      <c r="P247" s="9" t="s">
        <v>31</v>
      </c>
      <c r="Q247" s="9" t="s">
        <v>276</v>
      </c>
      <c r="R247" s="9" t="s">
        <v>41</v>
      </c>
      <c r="S247" s="9">
        <v>72</v>
      </c>
      <c r="T247" s="9" t="s">
        <v>34</v>
      </c>
      <c r="U247" s="5">
        <v>4170</v>
      </c>
      <c r="V247">
        <f t="shared" si="12"/>
        <v>300240</v>
      </c>
      <c r="W247" s="10">
        <v>0.18</v>
      </c>
      <c r="X247" s="11">
        <f t="shared" si="13"/>
        <v>54043.199999999997</v>
      </c>
      <c r="Y247">
        <v>0</v>
      </c>
      <c r="Z247" s="11">
        <f t="shared" si="14"/>
        <v>354283.2</v>
      </c>
    </row>
    <row r="248" spans="1:26" ht="75">
      <c r="A248" s="9" t="s">
        <v>291</v>
      </c>
      <c r="B248" s="5" t="s">
        <v>79</v>
      </c>
      <c r="C248" s="5" t="s">
        <v>79</v>
      </c>
      <c r="D248" s="5" t="s">
        <v>79</v>
      </c>
      <c r="E248" s="5" t="s">
        <v>80</v>
      </c>
      <c r="F248" s="6" t="s">
        <v>26</v>
      </c>
      <c r="G248" s="5" t="s">
        <v>81</v>
      </c>
      <c r="H248" s="5" t="s">
        <v>81</v>
      </c>
      <c r="I248" s="7" t="s">
        <v>28</v>
      </c>
      <c r="J248" s="8" t="s">
        <v>29</v>
      </c>
      <c r="K248" s="9" t="s">
        <v>291</v>
      </c>
      <c r="L248" s="5" t="s">
        <v>82</v>
      </c>
      <c r="M248" s="8"/>
      <c r="N248" s="8"/>
      <c r="O248" s="5">
        <v>371004</v>
      </c>
      <c r="P248" s="9" t="s">
        <v>31</v>
      </c>
      <c r="Q248" s="9" t="s">
        <v>121</v>
      </c>
      <c r="R248" s="9" t="s">
        <v>33</v>
      </c>
      <c r="S248" s="9">
        <v>1</v>
      </c>
      <c r="T248" s="9" t="s">
        <v>34</v>
      </c>
      <c r="U248" s="5">
        <v>7530</v>
      </c>
      <c r="V248">
        <f t="shared" si="12"/>
        <v>7530</v>
      </c>
      <c r="W248" s="10">
        <v>0.18</v>
      </c>
      <c r="X248" s="11">
        <f t="shared" si="13"/>
        <v>1355.4</v>
      </c>
      <c r="Y248">
        <v>0</v>
      </c>
      <c r="Z248" s="11">
        <f t="shared" si="14"/>
        <v>8885.4</v>
      </c>
    </row>
    <row r="249" spans="1:26" ht="90">
      <c r="A249" s="9" t="s">
        <v>291</v>
      </c>
      <c r="B249" s="5" t="s">
        <v>225</v>
      </c>
      <c r="C249" s="5" t="s">
        <v>225</v>
      </c>
      <c r="D249" s="5" t="s">
        <v>225</v>
      </c>
      <c r="E249" s="5" t="s">
        <v>226</v>
      </c>
      <c r="F249" s="6" t="s">
        <v>26</v>
      </c>
      <c r="G249" s="5" t="s">
        <v>227</v>
      </c>
      <c r="H249" s="5" t="s">
        <v>227</v>
      </c>
      <c r="I249" s="7" t="s">
        <v>28</v>
      </c>
      <c r="J249" s="8" t="s">
        <v>29</v>
      </c>
      <c r="K249" s="9" t="s">
        <v>291</v>
      </c>
      <c r="L249" s="5" t="s">
        <v>228</v>
      </c>
      <c r="M249" s="8"/>
      <c r="N249" s="8"/>
      <c r="O249" s="5">
        <v>380015</v>
      </c>
      <c r="P249" s="9" t="s">
        <v>31</v>
      </c>
      <c r="Q249" s="9" t="s">
        <v>292</v>
      </c>
      <c r="R249" s="9" t="s">
        <v>41</v>
      </c>
      <c r="S249" s="9">
        <v>1</v>
      </c>
      <c r="T249" s="9" t="s">
        <v>34</v>
      </c>
      <c r="U249" s="5">
        <v>9600</v>
      </c>
      <c r="V249">
        <f t="shared" si="12"/>
        <v>9600</v>
      </c>
      <c r="W249" s="10">
        <v>0.18</v>
      </c>
      <c r="X249" s="11">
        <f t="shared" si="13"/>
        <v>1728</v>
      </c>
      <c r="Y249">
        <v>0</v>
      </c>
      <c r="Z249" s="11">
        <f t="shared" si="14"/>
        <v>11328</v>
      </c>
    </row>
    <row r="250" spans="1:26" ht="90">
      <c r="A250" s="9" t="s">
        <v>291</v>
      </c>
      <c r="B250" s="5" t="s">
        <v>225</v>
      </c>
      <c r="C250" s="5" t="s">
        <v>225</v>
      </c>
      <c r="D250" s="5" t="s">
        <v>225</v>
      </c>
      <c r="E250" s="5" t="s">
        <v>226</v>
      </c>
      <c r="F250" s="6" t="s">
        <v>26</v>
      </c>
      <c r="G250" s="5" t="s">
        <v>227</v>
      </c>
      <c r="H250" s="5" t="s">
        <v>227</v>
      </c>
      <c r="I250" s="7" t="s">
        <v>28</v>
      </c>
      <c r="J250" s="8" t="s">
        <v>29</v>
      </c>
      <c r="K250" s="9" t="s">
        <v>291</v>
      </c>
      <c r="L250" s="5" t="s">
        <v>228</v>
      </c>
      <c r="M250" s="8"/>
      <c r="N250" s="8"/>
      <c r="O250" s="5">
        <v>380015</v>
      </c>
      <c r="P250" s="9" t="s">
        <v>31</v>
      </c>
      <c r="Q250" s="9" t="s">
        <v>276</v>
      </c>
      <c r="R250" s="9" t="s">
        <v>41</v>
      </c>
      <c r="S250" s="9">
        <v>2</v>
      </c>
      <c r="T250" s="9" t="s">
        <v>34</v>
      </c>
      <c r="U250" s="5">
        <v>6960</v>
      </c>
      <c r="V250">
        <f t="shared" si="12"/>
        <v>13920</v>
      </c>
      <c r="W250" s="10">
        <v>0.18</v>
      </c>
      <c r="X250" s="11">
        <f t="shared" si="13"/>
        <v>2505.6</v>
      </c>
      <c r="Y250">
        <v>0</v>
      </c>
      <c r="Z250" s="11">
        <f t="shared" si="14"/>
        <v>16425.599999999999</v>
      </c>
    </row>
    <row r="251" spans="1:26" ht="90">
      <c r="A251" s="9" t="s">
        <v>291</v>
      </c>
      <c r="B251" s="5" t="s">
        <v>225</v>
      </c>
      <c r="C251" s="5" t="s">
        <v>225</v>
      </c>
      <c r="D251" s="5" t="s">
        <v>225</v>
      </c>
      <c r="E251" s="5" t="s">
        <v>226</v>
      </c>
      <c r="F251" s="6" t="s">
        <v>26</v>
      </c>
      <c r="G251" s="5" t="s">
        <v>227</v>
      </c>
      <c r="H251" s="5" t="s">
        <v>227</v>
      </c>
      <c r="I251" s="7" t="s">
        <v>28</v>
      </c>
      <c r="J251" s="8" t="s">
        <v>29</v>
      </c>
      <c r="K251" s="9" t="s">
        <v>291</v>
      </c>
      <c r="L251" s="5" t="s">
        <v>228</v>
      </c>
      <c r="M251" s="8"/>
      <c r="N251" s="8"/>
      <c r="O251" s="5">
        <v>380015</v>
      </c>
      <c r="P251" s="9" t="s">
        <v>31</v>
      </c>
      <c r="Q251" s="9" t="s">
        <v>236</v>
      </c>
      <c r="R251" s="9" t="s">
        <v>41</v>
      </c>
      <c r="S251" s="9">
        <v>3</v>
      </c>
      <c r="T251" s="9" t="s">
        <v>34</v>
      </c>
      <c r="U251" s="5">
        <v>21850</v>
      </c>
      <c r="V251">
        <f t="shared" si="12"/>
        <v>65550</v>
      </c>
      <c r="W251" s="10">
        <v>0.18</v>
      </c>
      <c r="X251" s="11">
        <f t="shared" si="13"/>
        <v>11799</v>
      </c>
      <c r="Y251">
        <v>0</v>
      </c>
      <c r="Z251" s="11">
        <f t="shared" si="14"/>
        <v>77349</v>
      </c>
    </row>
    <row r="252" spans="1:26" ht="60">
      <c r="A252" s="4">
        <v>46119</v>
      </c>
      <c r="B252" s="5" t="s">
        <v>35</v>
      </c>
      <c r="C252" s="5" t="s">
        <v>35</v>
      </c>
      <c r="D252" s="5" t="s">
        <v>123</v>
      </c>
      <c r="E252" s="5" t="s">
        <v>124</v>
      </c>
      <c r="F252" s="6" t="s">
        <v>26</v>
      </c>
      <c r="G252" s="5" t="s">
        <v>125</v>
      </c>
      <c r="H252" s="5" t="s">
        <v>125</v>
      </c>
      <c r="I252" s="7" t="s">
        <v>28</v>
      </c>
      <c r="J252" s="8" t="s">
        <v>29</v>
      </c>
      <c r="K252" s="4">
        <v>46119</v>
      </c>
      <c r="L252" s="5" t="s">
        <v>126</v>
      </c>
      <c r="M252" s="8"/>
      <c r="N252" s="8"/>
      <c r="O252" s="5">
        <v>380060</v>
      </c>
      <c r="P252" s="9" t="s">
        <v>31</v>
      </c>
      <c r="Q252" s="9" t="s">
        <v>89</v>
      </c>
      <c r="R252" s="9" t="s">
        <v>41</v>
      </c>
      <c r="S252" s="9">
        <v>8</v>
      </c>
      <c r="T252" s="9" t="s">
        <v>34</v>
      </c>
      <c r="U252" s="5">
        <v>2895</v>
      </c>
      <c r="V252">
        <f t="shared" si="12"/>
        <v>23160</v>
      </c>
      <c r="W252" s="10">
        <v>0.18</v>
      </c>
      <c r="X252" s="11">
        <f t="shared" si="13"/>
        <v>4168.8</v>
      </c>
      <c r="Y252">
        <v>0</v>
      </c>
      <c r="Z252" s="11">
        <f t="shared" si="14"/>
        <v>27328.799999999999</v>
      </c>
    </row>
    <row r="253" spans="1:26" ht="60">
      <c r="A253" s="4">
        <v>46119</v>
      </c>
      <c r="B253" s="5" t="s">
        <v>35</v>
      </c>
      <c r="C253" s="5" t="s">
        <v>35</v>
      </c>
      <c r="D253" s="5" t="s">
        <v>123</v>
      </c>
      <c r="E253" s="5" t="s">
        <v>124</v>
      </c>
      <c r="F253" s="6" t="s">
        <v>26</v>
      </c>
      <c r="G253" s="5" t="s">
        <v>125</v>
      </c>
      <c r="H253" s="5" t="s">
        <v>125</v>
      </c>
      <c r="I253" s="7" t="s">
        <v>28</v>
      </c>
      <c r="J253" s="8" t="s">
        <v>29</v>
      </c>
      <c r="K253" s="4">
        <v>46119</v>
      </c>
      <c r="L253" s="5" t="s">
        <v>126</v>
      </c>
      <c r="M253" s="8"/>
      <c r="N253" s="8"/>
      <c r="O253" s="5">
        <v>380060</v>
      </c>
      <c r="P253" s="9" t="s">
        <v>31</v>
      </c>
      <c r="Q253" s="9" t="s">
        <v>89</v>
      </c>
      <c r="R253" s="9" t="s">
        <v>41</v>
      </c>
      <c r="S253" s="9">
        <v>4</v>
      </c>
      <c r="T253" s="9" t="s">
        <v>34</v>
      </c>
      <c r="U253" s="5">
        <v>2895</v>
      </c>
      <c r="V253">
        <f t="shared" si="12"/>
        <v>11580</v>
      </c>
      <c r="W253" s="10">
        <v>0.18</v>
      </c>
      <c r="X253" s="11">
        <f t="shared" si="13"/>
        <v>2084.4</v>
      </c>
      <c r="Y253">
        <v>0</v>
      </c>
      <c r="Z253" s="11">
        <f t="shared" si="14"/>
        <v>13664.4</v>
      </c>
    </row>
    <row r="254" spans="1:26" ht="75">
      <c r="A254" s="4">
        <v>46180</v>
      </c>
      <c r="B254" s="5" t="s">
        <v>282</v>
      </c>
      <c r="C254" s="5" t="s">
        <v>282</v>
      </c>
      <c r="D254" s="5" t="s">
        <v>282</v>
      </c>
      <c r="E254" s="5" t="s">
        <v>54</v>
      </c>
      <c r="F254" s="6" t="s">
        <v>26</v>
      </c>
      <c r="G254" s="5" t="s">
        <v>55</v>
      </c>
      <c r="H254" s="5" t="s">
        <v>55</v>
      </c>
      <c r="I254" s="7" t="s">
        <v>28</v>
      </c>
      <c r="J254" s="8" t="s">
        <v>29</v>
      </c>
      <c r="K254" s="4">
        <v>46180</v>
      </c>
      <c r="L254" s="5" t="s">
        <v>56</v>
      </c>
      <c r="M254" s="8"/>
      <c r="N254" s="8"/>
      <c r="O254" s="5">
        <v>382421</v>
      </c>
      <c r="P254" s="9" t="s">
        <v>58</v>
      </c>
      <c r="Q254" s="9" t="s">
        <v>276</v>
      </c>
      <c r="R254" s="9" t="s">
        <v>33</v>
      </c>
      <c r="S254" s="9">
        <v>1</v>
      </c>
      <c r="T254" s="9" t="s">
        <v>293</v>
      </c>
      <c r="U254" s="5">
        <v>9910</v>
      </c>
      <c r="V254">
        <f t="shared" si="12"/>
        <v>9910</v>
      </c>
      <c r="W254" s="10">
        <v>0.18</v>
      </c>
      <c r="X254" s="11">
        <f t="shared" si="13"/>
        <v>1783.8</v>
      </c>
      <c r="Y254">
        <v>0</v>
      </c>
      <c r="Z254" s="11">
        <f t="shared" si="14"/>
        <v>11693.8</v>
      </c>
    </row>
    <row r="255" spans="1:26" ht="30">
      <c r="A255" s="4">
        <v>46180</v>
      </c>
      <c r="B255" s="9" t="s">
        <v>42</v>
      </c>
      <c r="C255" s="9" t="s">
        <v>42</v>
      </c>
      <c r="D255" s="9" t="s">
        <v>42</v>
      </c>
      <c r="E255" s="5" t="s">
        <v>43</v>
      </c>
      <c r="F255" s="6" t="s">
        <v>26</v>
      </c>
      <c r="G255" s="5" t="s">
        <v>44</v>
      </c>
      <c r="H255" s="5" t="s">
        <v>44</v>
      </c>
      <c r="I255" s="7" t="s">
        <v>28</v>
      </c>
      <c r="J255" s="8" t="s">
        <v>29</v>
      </c>
      <c r="K255" s="4">
        <v>46180</v>
      </c>
      <c r="L255" s="5" t="s">
        <v>45</v>
      </c>
      <c r="M255" s="8"/>
      <c r="N255" s="8"/>
      <c r="O255" s="5">
        <v>600001</v>
      </c>
      <c r="P255" s="9" t="s">
        <v>31</v>
      </c>
      <c r="Q255" s="9" t="s">
        <v>48</v>
      </c>
      <c r="R255" s="9" t="s">
        <v>41</v>
      </c>
      <c r="S255" s="9">
        <v>15</v>
      </c>
      <c r="T255" s="9" t="s">
        <v>34</v>
      </c>
      <c r="U255" s="5">
        <v>4600</v>
      </c>
      <c r="V255">
        <f t="shared" si="12"/>
        <v>69000</v>
      </c>
      <c r="W255" s="10">
        <v>0.18</v>
      </c>
      <c r="X255" s="11">
        <f t="shared" si="13"/>
        <v>12420</v>
      </c>
      <c r="Y255">
        <v>0</v>
      </c>
      <c r="Z255" s="11">
        <f t="shared" si="14"/>
        <v>81420</v>
      </c>
    </row>
    <row r="256" spans="1:26" ht="30">
      <c r="A256" s="4">
        <v>46180</v>
      </c>
      <c r="B256" s="9" t="s">
        <v>42</v>
      </c>
      <c r="C256" s="9" t="s">
        <v>42</v>
      </c>
      <c r="D256" s="9" t="s">
        <v>42</v>
      </c>
      <c r="E256" s="5" t="s">
        <v>43</v>
      </c>
      <c r="F256" s="6" t="s">
        <v>26</v>
      </c>
      <c r="G256" s="5" t="s">
        <v>44</v>
      </c>
      <c r="H256" s="5" t="s">
        <v>44</v>
      </c>
      <c r="I256" s="7" t="s">
        <v>28</v>
      </c>
      <c r="J256" s="8" t="s">
        <v>29</v>
      </c>
      <c r="K256" s="4">
        <v>46180</v>
      </c>
      <c r="L256" s="5" t="s">
        <v>45</v>
      </c>
      <c r="M256" s="8"/>
      <c r="N256" s="8"/>
      <c r="O256" s="5">
        <v>600001</v>
      </c>
      <c r="P256" s="9" t="s">
        <v>31</v>
      </c>
      <c r="Q256" s="9" t="s">
        <v>32</v>
      </c>
      <c r="R256" s="9" t="s">
        <v>41</v>
      </c>
      <c r="S256" s="9">
        <v>30</v>
      </c>
      <c r="T256" s="9" t="s">
        <v>34</v>
      </c>
      <c r="U256" s="5">
        <v>6950</v>
      </c>
      <c r="V256">
        <f t="shared" si="12"/>
        <v>208500</v>
      </c>
      <c r="W256" s="10">
        <v>0.18</v>
      </c>
      <c r="X256" s="11">
        <f t="shared" si="13"/>
        <v>37530</v>
      </c>
      <c r="Y256">
        <v>0</v>
      </c>
      <c r="Z256" s="11">
        <f t="shared" si="14"/>
        <v>246030</v>
      </c>
    </row>
    <row r="257" spans="1:26" ht="30">
      <c r="A257" s="4">
        <v>46180</v>
      </c>
      <c r="B257" s="9" t="s">
        <v>42</v>
      </c>
      <c r="C257" s="9" t="s">
        <v>42</v>
      </c>
      <c r="D257" s="9" t="s">
        <v>42</v>
      </c>
      <c r="E257" s="5" t="s">
        <v>43</v>
      </c>
      <c r="F257" s="6" t="s">
        <v>26</v>
      </c>
      <c r="G257" s="5" t="s">
        <v>44</v>
      </c>
      <c r="H257" s="5" t="s">
        <v>44</v>
      </c>
      <c r="I257" s="7" t="s">
        <v>28</v>
      </c>
      <c r="J257" s="8" t="s">
        <v>29</v>
      </c>
      <c r="K257" s="4">
        <v>46180</v>
      </c>
      <c r="L257" s="5" t="s">
        <v>45</v>
      </c>
      <c r="M257" s="8"/>
      <c r="N257" s="8"/>
      <c r="O257" s="5">
        <v>600001</v>
      </c>
      <c r="P257" s="9" t="s">
        <v>31</v>
      </c>
      <c r="Q257" s="9" t="s">
        <v>32</v>
      </c>
      <c r="R257" s="9" t="s">
        <v>47</v>
      </c>
      <c r="S257" s="9">
        <v>5</v>
      </c>
      <c r="T257" s="9" t="s">
        <v>34</v>
      </c>
      <c r="U257" s="5">
        <v>16200</v>
      </c>
      <c r="V257">
        <f t="shared" si="12"/>
        <v>81000</v>
      </c>
      <c r="W257" s="10">
        <v>0.18</v>
      </c>
      <c r="X257" s="11">
        <f t="shared" si="13"/>
        <v>14580</v>
      </c>
      <c r="Y257">
        <v>0</v>
      </c>
      <c r="Z257" s="11">
        <f t="shared" si="14"/>
        <v>95580</v>
      </c>
    </row>
    <row r="258" spans="1:26" ht="30">
      <c r="A258" s="4">
        <v>46180</v>
      </c>
      <c r="B258" s="9" t="s">
        <v>42</v>
      </c>
      <c r="C258" s="9" t="s">
        <v>42</v>
      </c>
      <c r="D258" s="9" t="s">
        <v>42</v>
      </c>
      <c r="E258" s="5" t="s">
        <v>43</v>
      </c>
      <c r="F258" s="6" t="s">
        <v>26</v>
      </c>
      <c r="G258" s="5" t="s">
        <v>44</v>
      </c>
      <c r="H258" s="5" t="s">
        <v>44</v>
      </c>
      <c r="I258" s="7" t="s">
        <v>28</v>
      </c>
      <c r="J258" s="8" t="s">
        <v>29</v>
      </c>
      <c r="K258" s="4">
        <v>46180</v>
      </c>
      <c r="L258" s="5" t="s">
        <v>45</v>
      </c>
      <c r="M258" s="8"/>
      <c r="N258" s="8"/>
      <c r="O258" s="5">
        <v>600001</v>
      </c>
      <c r="P258" s="9" t="s">
        <v>31</v>
      </c>
      <c r="Q258" s="9" t="s">
        <v>121</v>
      </c>
      <c r="R258" s="9" t="s">
        <v>41</v>
      </c>
      <c r="S258" s="9">
        <v>4</v>
      </c>
      <c r="T258" s="9" t="s">
        <v>34</v>
      </c>
      <c r="U258" s="5">
        <v>12550</v>
      </c>
      <c r="V258">
        <f t="shared" si="12"/>
        <v>50200</v>
      </c>
      <c r="W258" s="10">
        <v>0.18</v>
      </c>
      <c r="X258" s="11">
        <f t="shared" si="13"/>
        <v>9036</v>
      </c>
      <c r="Y258">
        <v>0</v>
      </c>
      <c r="Z258" s="11">
        <f t="shared" si="14"/>
        <v>59236</v>
      </c>
    </row>
    <row r="259" spans="1:26" ht="30">
      <c r="A259" s="4">
        <v>46180</v>
      </c>
      <c r="B259" s="9" t="s">
        <v>42</v>
      </c>
      <c r="C259" s="9" t="s">
        <v>42</v>
      </c>
      <c r="D259" s="9" t="s">
        <v>42</v>
      </c>
      <c r="E259" s="5" t="s">
        <v>43</v>
      </c>
      <c r="F259" s="6" t="s">
        <v>26</v>
      </c>
      <c r="G259" s="5" t="s">
        <v>44</v>
      </c>
      <c r="H259" s="5" t="s">
        <v>44</v>
      </c>
      <c r="I259" s="7" t="s">
        <v>28</v>
      </c>
      <c r="J259" s="8" t="s">
        <v>29</v>
      </c>
      <c r="K259" s="4">
        <v>46180</v>
      </c>
      <c r="L259" s="5" t="s">
        <v>45</v>
      </c>
      <c r="M259" s="8"/>
      <c r="N259" s="8"/>
      <c r="O259" s="5">
        <v>600001</v>
      </c>
      <c r="P259" s="9" t="s">
        <v>31</v>
      </c>
      <c r="Q259" s="9" t="s">
        <v>72</v>
      </c>
      <c r="R259" s="9" t="s">
        <v>33</v>
      </c>
      <c r="S259" s="9">
        <v>5</v>
      </c>
      <c r="T259" s="9" t="s">
        <v>34</v>
      </c>
      <c r="U259" s="5">
        <v>25500</v>
      </c>
      <c r="V259">
        <f t="shared" si="12"/>
        <v>127500</v>
      </c>
      <c r="W259" s="10">
        <v>0.18</v>
      </c>
      <c r="X259" s="11">
        <f t="shared" si="13"/>
        <v>22950</v>
      </c>
      <c r="Y259">
        <v>0</v>
      </c>
      <c r="Z259" s="11">
        <f t="shared" si="14"/>
        <v>150450</v>
      </c>
    </row>
    <row r="260" spans="1:26" ht="60">
      <c r="A260" s="9" t="s">
        <v>294</v>
      </c>
      <c r="B260" s="5" t="s">
        <v>35</v>
      </c>
      <c r="C260" s="5" t="s">
        <v>35</v>
      </c>
      <c r="D260" s="5" t="s">
        <v>123</v>
      </c>
      <c r="E260" s="5" t="s">
        <v>124</v>
      </c>
      <c r="F260" s="6" t="s">
        <v>26</v>
      </c>
      <c r="G260" s="5" t="s">
        <v>125</v>
      </c>
      <c r="H260" s="5" t="s">
        <v>125</v>
      </c>
      <c r="I260" s="7" t="s">
        <v>28</v>
      </c>
      <c r="J260" s="8" t="s">
        <v>29</v>
      </c>
      <c r="K260" s="9" t="s">
        <v>294</v>
      </c>
      <c r="L260" s="5" t="s">
        <v>126</v>
      </c>
      <c r="M260" s="8"/>
      <c r="N260" s="8"/>
      <c r="O260" s="5">
        <v>380060</v>
      </c>
      <c r="P260" s="9" t="s">
        <v>57</v>
      </c>
      <c r="Q260" s="9" t="s">
        <v>52</v>
      </c>
      <c r="R260" s="9" t="s">
        <v>90</v>
      </c>
      <c r="S260" s="9">
        <v>11</v>
      </c>
      <c r="T260" s="9" t="s">
        <v>189</v>
      </c>
      <c r="U260" s="5">
        <v>2600</v>
      </c>
      <c r="V260">
        <f t="shared" si="12"/>
        <v>28600</v>
      </c>
      <c r="W260" s="10">
        <v>0.18</v>
      </c>
      <c r="X260" s="11">
        <f t="shared" si="13"/>
        <v>5148</v>
      </c>
      <c r="Y260">
        <v>0</v>
      </c>
      <c r="Z260" s="11">
        <f t="shared" si="14"/>
        <v>33748</v>
      </c>
    </row>
    <row r="261" spans="1:26" ht="60">
      <c r="A261" s="9" t="s">
        <v>294</v>
      </c>
      <c r="B261" s="5" t="s">
        <v>35</v>
      </c>
      <c r="C261" s="5" t="s">
        <v>35</v>
      </c>
      <c r="D261" s="5" t="s">
        <v>123</v>
      </c>
      <c r="E261" s="5" t="s">
        <v>124</v>
      </c>
      <c r="F261" s="6" t="s">
        <v>26</v>
      </c>
      <c r="G261" s="5" t="s">
        <v>125</v>
      </c>
      <c r="H261" s="5" t="s">
        <v>125</v>
      </c>
      <c r="I261" s="7" t="s">
        <v>28</v>
      </c>
      <c r="J261" s="8" t="s">
        <v>29</v>
      </c>
      <c r="K261" s="9" t="s">
        <v>294</v>
      </c>
      <c r="L261" s="5" t="s">
        <v>126</v>
      </c>
      <c r="M261" s="8"/>
      <c r="N261" s="8"/>
      <c r="O261" s="5">
        <v>380060</v>
      </c>
      <c r="P261" s="9" t="s">
        <v>57</v>
      </c>
      <c r="Q261" s="9" t="s">
        <v>121</v>
      </c>
      <c r="R261" s="9" t="s">
        <v>90</v>
      </c>
      <c r="S261" s="9">
        <v>15</v>
      </c>
      <c r="T261" s="9" t="s">
        <v>189</v>
      </c>
      <c r="U261" s="5">
        <v>13000</v>
      </c>
      <c r="V261">
        <f t="shared" si="12"/>
        <v>195000</v>
      </c>
      <c r="W261" s="10">
        <v>0.18</v>
      </c>
      <c r="X261" s="11">
        <f t="shared" si="13"/>
        <v>35100</v>
      </c>
      <c r="Y261">
        <v>0</v>
      </c>
      <c r="Z261" s="11">
        <f t="shared" si="14"/>
        <v>230100</v>
      </c>
    </row>
    <row r="262" spans="1:26" ht="60">
      <c r="A262" s="9" t="s">
        <v>294</v>
      </c>
      <c r="B262" s="5" t="s">
        <v>35</v>
      </c>
      <c r="C262" s="5" t="s">
        <v>35</v>
      </c>
      <c r="D262" s="5" t="s">
        <v>123</v>
      </c>
      <c r="E262" s="5" t="s">
        <v>124</v>
      </c>
      <c r="F262" s="6" t="s">
        <v>26</v>
      </c>
      <c r="G262" s="5" t="s">
        <v>125</v>
      </c>
      <c r="H262" s="5" t="s">
        <v>125</v>
      </c>
      <c r="I262" s="7" t="s">
        <v>28</v>
      </c>
      <c r="J262" s="8" t="s">
        <v>29</v>
      </c>
      <c r="K262" s="9" t="s">
        <v>294</v>
      </c>
      <c r="L262" s="5" t="s">
        <v>126</v>
      </c>
      <c r="M262" s="8"/>
      <c r="N262" s="8"/>
      <c r="O262" s="5">
        <v>380060</v>
      </c>
      <c r="P262" s="9" t="s">
        <v>57</v>
      </c>
      <c r="Q262" s="9" t="s">
        <v>72</v>
      </c>
      <c r="R262" s="9" t="s">
        <v>90</v>
      </c>
      <c r="S262" s="9">
        <v>5</v>
      </c>
      <c r="T262" s="9" t="s">
        <v>189</v>
      </c>
      <c r="U262" s="5">
        <v>13900</v>
      </c>
      <c r="V262">
        <f t="shared" si="12"/>
        <v>69500</v>
      </c>
      <c r="W262" s="10">
        <v>0.18</v>
      </c>
      <c r="X262" s="11">
        <f t="shared" si="13"/>
        <v>12510</v>
      </c>
      <c r="Y262">
        <v>0</v>
      </c>
      <c r="Z262" s="11">
        <f t="shared" si="14"/>
        <v>82010</v>
      </c>
    </row>
    <row r="263" spans="1:26" ht="90">
      <c r="A263" s="9" t="s">
        <v>295</v>
      </c>
      <c r="B263" s="5" t="s">
        <v>176</v>
      </c>
      <c r="C263" s="5" t="s">
        <v>176</v>
      </c>
      <c r="D263" s="5" t="s">
        <v>176</v>
      </c>
      <c r="E263" s="5" t="s">
        <v>177</v>
      </c>
      <c r="F263" s="6" t="s">
        <v>26</v>
      </c>
      <c r="G263" s="5" t="s">
        <v>178</v>
      </c>
      <c r="H263" s="5" t="s">
        <v>178</v>
      </c>
      <c r="I263" s="7" t="s">
        <v>28</v>
      </c>
      <c r="J263" s="8" t="s">
        <v>29</v>
      </c>
      <c r="K263" s="9" t="s">
        <v>295</v>
      </c>
      <c r="L263" s="5" t="s">
        <v>179</v>
      </c>
      <c r="M263" s="8"/>
      <c r="N263" s="8"/>
      <c r="O263" s="5">
        <v>380058</v>
      </c>
      <c r="P263" s="9" t="s">
        <v>58</v>
      </c>
      <c r="Q263" s="9" t="s">
        <v>121</v>
      </c>
      <c r="R263" s="9" t="s">
        <v>90</v>
      </c>
      <c r="S263" s="9">
        <v>5</v>
      </c>
      <c r="T263" s="9" t="s">
        <v>34</v>
      </c>
      <c r="U263" s="5">
        <v>9132</v>
      </c>
      <c r="V263">
        <f t="shared" si="12"/>
        <v>45660</v>
      </c>
      <c r="W263" s="10">
        <v>0.18</v>
      </c>
      <c r="X263" s="11">
        <f t="shared" si="13"/>
        <v>8218.7999999999993</v>
      </c>
      <c r="Y263">
        <v>0</v>
      </c>
      <c r="Z263" s="11">
        <f t="shared" si="14"/>
        <v>53878.8</v>
      </c>
    </row>
    <row r="264" spans="1:26" ht="60">
      <c r="A264" s="9" t="s">
        <v>295</v>
      </c>
      <c r="B264" s="5" t="s">
        <v>24</v>
      </c>
      <c r="C264" s="5" t="s">
        <v>24</v>
      </c>
      <c r="D264" s="5" t="s">
        <v>24</v>
      </c>
      <c r="E264" s="5" t="s">
        <v>25</v>
      </c>
      <c r="F264" s="6" t="s">
        <v>26</v>
      </c>
      <c r="G264" s="5" t="s">
        <v>27</v>
      </c>
      <c r="H264" s="5" t="s">
        <v>27</v>
      </c>
      <c r="I264" s="7" t="s">
        <v>28</v>
      </c>
      <c r="J264" s="8" t="s">
        <v>29</v>
      </c>
      <c r="K264" s="9" t="s">
        <v>295</v>
      </c>
      <c r="L264" s="5" t="s">
        <v>30</v>
      </c>
      <c r="M264" s="8"/>
      <c r="N264" s="8"/>
      <c r="O264" s="5">
        <v>361005</v>
      </c>
      <c r="P264" s="9" t="s">
        <v>57</v>
      </c>
      <c r="Q264" s="9" t="s">
        <v>32</v>
      </c>
      <c r="R264" s="9" t="s">
        <v>50</v>
      </c>
      <c r="S264" s="9">
        <v>10</v>
      </c>
      <c r="T264" s="9" t="s">
        <v>34</v>
      </c>
      <c r="U264" s="5">
        <v>8110</v>
      </c>
      <c r="V264">
        <f t="shared" si="12"/>
        <v>81100</v>
      </c>
      <c r="W264" s="10">
        <v>0.18</v>
      </c>
      <c r="X264" s="11">
        <f t="shared" si="13"/>
        <v>14598</v>
      </c>
      <c r="Y264">
        <v>0</v>
      </c>
      <c r="Z264" s="11">
        <f t="shared" si="14"/>
        <v>95698</v>
      </c>
    </row>
    <row r="265" spans="1:26" ht="75">
      <c r="A265" s="9" t="s">
        <v>295</v>
      </c>
      <c r="B265" s="5" t="s">
        <v>117</v>
      </c>
      <c r="C265" s="5" t="s">
        <v>117</v>
      </c>
      <c r="D265" s="5" t="s">
        <v>117</v>
      </c>
      <c r="E265" s="5" t="s">
        <v>118</v>
      </c>
      <c r="F265" s="6" t="s">
        <v>26</v>
      </c>
      <c r="G265" s="5" t="s">
        <v>119</v>
      </c>
      <c r="H265" s="5" t="s">
        <v>119</v>
      </c>
      <c r="I265" s="7" t="s">
        <v>28</v>
      </c>
      <c r="J265" s="8" t="s">
        <v>29</v>
      </c>
      <c r="K265" s="9" t="s">
        <v>295</v>
      </c>
      <c r="L265" s="5" t="s">
        <v>259</v>
      </c>
      <c r="M265" s="8"/>
      <c r="N265" s="8"/>
      <c r="O265" s="5">
        <v>390020</v>
      </c>
      <c r="P265" s="9" t="s">
        <v>143</v>
      </c>
      <c r="Q265" s="9" t="s">
        <v>296</v>
      </c>
      <c r="R265" s="9" t="s">
        <v>41</v>
      </c>
      <c r="S265" s="9">
        <v>180</v>
      </c>
      <c r="T265" s="9" t="s">
        <v>34</v>
      </c>
      <c r="U265" s="5">
        <v>2850</v>
      </c>
      <c r="V265">
        <f t="shared" si="12"/>
        <v>513000</v>
      </c>
      <c r="W265" s="10">
        <v>0.18</v>
      </c>
      <c r="X265" s="11">
        <f t="shared" si="13"/>
        <v>92340</v>
      </c>
      <c r="Y265">
        <v>0</v>
      </c>
      <c r="Z265" s="11">
        <f t="shared" si="14"/>
        <v>605340</v>
      </c>
    </row>
    <row r="266" spans="1:26" ht="30">
      <c r="A266" s="4">
        <v>46212</v>
      </c>
      <c r="B266" s="5" t="s">
        <v>297</v>
      </c>
      <c r="C266" s="5" t="s">
        <v>297</v>
      </c>
      <c r="D266" s="5" t="s">
        <v>297</v>
      </c>
      <c r="E266" s="5" t="s">
        <v>298</v>
      </c>
      <c r="F266" s="6" t="s">
        <v>26</v>
      </c>
      <c r="G266" s="5" t="s">
        <v>299</v>
      </c>
      <c r="H266" s="5" t="s">
        <v>299</v>
      </c>
      <c r="I266" s="7" t="s">
        <v>28</v>
      </c>
      <c r="J266" s="8" t="s">
        <v>29</v>
      </c>
      <c r="K266" s="4">
        <v>46212</v>
      </c>
      <c r="L266" s="5" t="s">
        <v>300</v>
      </c>
      <c r="M266" s="8"/>
      <c r="N266" s="8"/>
      <c r="O266" s="5">
        <v>361280</v>
      </c>
      <c r="P266" s="9" t="s">
        <v>31</v>
      </c>
      <c r="Q266" s="9" t="s">
        <v>32</v>
      </c>
      <c r="R266" s="9" t="s">
        <v>41</v>
      </c>
      <c r="S266" s="9">
        <v>35</v>
      </c>
      <c r="T266" s="9" t="s">
        <v>189</v>
      </c>
      <c r="U266" s="5">
        <v>4170</v>
      </c>
      <c r="V266">
        <f t="shared" si="12"/>
        <v>145950</v>
      </c>
      <c r="W266" s="10">
        <v>0.18</v>
      </c>
      <c r="X266" s="11">
        <f t="shared" si="13"/>
        <v>26271</v>
      </c>
      <c r="Y266">
        <v>0</v>
      </c>
      <c r="Z266" s="11">
        <f t="shared" si="14"/>
        <v>172221</v>
      </c>
    </row>
    <row r="267" spans="1:26" ht="30">
      <c r="A267" s="4">
        <v>46212</v>
      </c>
      <c r="B267" s="5" t="s">
        <v>297</v>
      </c>
      <c r="C267" s="5" t="s">
        <v>297</v>
      </c>
      <c r="D267" s="5" t="s">
        <v>297</v>
      </c>
      <c r="E267" s="5" t="s">
        <v>298</v>
      </c>
      <c r="F267" s="6" t="s">
        <v>26</v>
      </c>
      <c r="G267" s="5" t="s">
        <v>299</v>
      </c>
      <c r="H267" s="5" t="s">
        <v>299</v>
      </c>
      <c r="I267" s="7" t="s">
        <v>28</v>
      </c>
      <c r="J267" s="8" t="s">
        <v>29</v>
      </c>
      <c r="K267" s="4">
        <v>46212</v>
      </c>
      <c r="L267" s="5" t="s">
        <v>300</v>
      </c>
      <c r="M267" s="8"/>
      <c r="N267" s="8"/>
      <c r="O267" s="5">
        <v>361280</v>
      </c>
      <c r="P267" s="9" t="s">
        <v>57</v>
      </c>
      <c r="Q267" s="9" t="s">
        <v>32</v>
      </c>
      <c r="R267" s="9" t="s">
        <v>41</v>
      </c>
      <c r="S267" s="9">
        <v>60</v>
      </c>
      <c r="T267" s="9" t="s">
        <v>189</v>
      </c>
      <c r="U267" s="5">
        <v>4800</v>
      </c>
      <c r="V267">
        <f t="shared" si="12"/>
        <v>288000</v>
      </c>
      <c r="W267" s="10">
        <v>0.18</v>
      </c>
      <c r="X267" s="11">
        <f t="shared" si="13"/>
        <v>51840</v>
      </c>
      <c r="Y267">
        <v>0</v>
      </c>
      <c r="Z267" s="11">
        <f t="shared" si="14"/>
        <v>339840</v>
      </c>
    </row>
    <row r="268" spans="1:26" ht="30">
      <c r="A268" s="4">
        <v>46212</v>
      </c>
      <c r="B268" s="5" t="s">
        <v>297</v>
      </c>
      <c r="C268" s="5" t="s">
        <v>297</v>
      </c>
      <c r="D268" s="5" t="s">
        <v>297</v>
      </c>
      <c r="E268" s="5" t="s">
        <v>298</v>
      </c>
      <c r="F268" s="6" t="s">
        <v>26</v>
      </c>
      <c r="G268" s="5" t="s">
        <v>299</v>
      </c>
      <c r="H268" s="5" t="s">
        <v>299</v>
      </c>
      <c r="I268" s="7" t="s">
        <v>28</v>
      </c>
      <c r="J268" s="8" t="s">
        <v>29</v>
      </c>
      <c r="K268" s="4">
        <v>46212</v>
      </c>
      <c r="L268" s="5" t="s">
        <v>300</v>
      </c>
      <c r="M268" s="8"/>
      <c r="N268" s="8"/>
      <c r="O268" s="5">
        <v>361280</v>
      </c>
      <c r="P268" s="9" t="s">
        <v>57</v>
      </c>
      <c r="Q268" s="9" t="s">
        <v>48</v>
      </c>
      <c r="R268" s="9" t="s">
        <v>41</v>
      </c>
      <c r="S268" s="9">
        <v>10</v>
      </c>
      <c r="T268" s="9" t="s">
        <v>189</v>
      </c>
      <c r="U268" s="5">
        <v>3000</v>
      </c>
      <c r="V268">
        <f t="shared" ref="V268:V301" si="15">U268*S268</f>
        <v>30000</v>
      </c>
      <c r="W268" s="10">
        <v>0.18</v>
      </c>
      <c r="X268" s="11">
        <f t="shared" ref="X268:X301" si="16">V268*W268</f>
        <v>5400</v>
      </c>
      <c r="Y268">
        <v>0</v>
      </c>
      <c r="Z268" s="11">
        <f t="shared" ref="Z268:Z301" si="17">V268+X268</f>
        <v>35400</v>
      </c>
    </row>
    <row r="269" spans="1:26" ht="60">
      <c r="A269" s="4">
        <v>46305</v>
      </c>
      <c r="B269" s="5" t="s">
        <v>35</v>
      </c>
      <c r="C269" s="5" t="s">
        <v>35</v>
      </c>
      <c r="D269" s="5" t="s">
        <v>123</v>
      </c>
      <c r="E269" s="5" t="s">
        <v>124</v>
      </c>
      <c r="F269" s="6" t="s">
        <v>26</v>
      </c>
      <c r="G269" s="5" t="s">
        <v>125</v>
      </c>
      <c r="H269" s="5" t="s">
        <v>125</v>
      </c>
      <c r="I269" s="7" t="s">
        <v>28</v>
      </c>
      <c r="J269" s="8" t="s">
        <v>29</v>
      </c>
      <c r="K269" s="4">
        <v>46305</v>
      </c>
      <c r="L269" s="5" t="s">
        <v>126</v>
      </c>
      <c r="M269" s="8"/>
      <c r="N269" s="8"/>
      <c r="O269" s="5">
        <v>380060</v>
      </c>
      <c r="P269" s="9" t="s">
        <v>31</v>
      </c>
      <c r="Q269" s="9" t="s">
        <v>162</v>
      </c>
      <c r="R269" s="9" t="s">
        <v>41</v>
      </c>
      <c r="S269" s="9">
        <v>4</v>
      </c>
      <c r="T269" s="9" t="s">
        <v>34</v>
      </c>
      <c r="U269" s="5">
        <v>1740</v>
      </c>
      <c r="V269">
        <f t="shared" si="15"/>
        <v>6960</v>
      </c>
      <c r="W269" s="10">
        <v>0.18</v>
      </c>
      <c r="X269" s="11">
        <f t="shared" si="16"/>
        <v>1252.8</v>
      </c>
      <c r="Y269">
        <v>0</v>
      </c>
      <c r="Z269" s="11">
        <f t="shared" si="17"/>
        <v>8212.7999999999993</v>
      </c>
    </row>
    <row r="270" spans="1:26" ht="60">
      <c r="A270" s="4">
        <v>46216</v>
      </c>
      <c r="B270" s="5" t="s">
        <v>35</v>
      </c>
      <c r="C270" s="5" t="s">
        <v>35</v>
      </c>
      <c r="D270" s="5" t="s">
        <v>123</v>
      </c>
      <c r="E270" s="5" t="s">
        <v>124</v>
      </c>
      <c r="F270" s="6" t="s">
        <v>26</v>
      </c>
      <c r="G270" s="5" t="s">
        <v>125</v>
      </c>
      <c r="H270" s="5" t="s">
        <v>125</v>
      </c>
      <c r="I270" s="7" t="s">
        <v>28</v>
      </c>
      <c r="J270" s="8" t="s">
        <v>29</v>
      </c>
      <c r="K270" s="4">
        <v>46216</v>
      </c>
      <c r="L270" s="5" t="s">
        <v>126</v>
      </c>
      <c r="M270" s="8"/>
      <c r="N270" s="8"/>
      <c r="O270" s="5">
        <v>380060</v>
      </c>
      <c r="P270" s="9" t="s">
        <v>58</v>
      </c>
      <c r="Q270" s="9" t="s">
        <v>32</v>
      </c>
      <c r="R270" s="9" t="s">
        <v>41</v>
      </c>
      <c r="S270" s="9">
        <v>2</v>
      </c>
      <c r="T270" s="9" t="s">
        <v>67</v>
      </c>
      <c r="U270" s="5">
        <v>10450</v>
      </c>
      <c r="V270">
        <f t="shared" si="15"/>
        <v>20900</v>
      </c>
      <c r="W270" s="10">
        <v>0.18</v>
      </c>
      <c r="X270" s="11">
        <f t="shared" si="16"/>
        <v>3762</v>
      </c>
      <c r="Y270">
        <v>0</v>
      </c>
      <c r="Z270" s="11">
        <f t="shared" si="17"/>
        <v>24662</v>
      </c>
    </row>
    <row r="271" spans="1:26" ht="60">
      <c r="A271" s="4">
        <v>46216</v>
      </c>
      <c r="B271" s="5" t="s">
        <v>35</v>
      </c>
      <c r="C271" s="5" t="s">
        <v>35</v>
      </c>
      <c r="D271" s="5" t="s">
        <v>123</v>
      </c>
      <c r="E271" s="5" t="s">
        <v>124</v>
      </c>
      <c r="F271" s="6" t="s">
        <v>26</v>
      </c>
      <c r="G271" s="5" t="s">
        <v>125</v>
      </c>
      <c r="H271" s="5" t="s">
        <v>125</v>
      </c>
      <c r="I271" s="7" t="s">
        <v>28</v>
      </c>
      <c r="J271" s="8" t="s">
        <v>29</v>
      </c>
      <c r="K271" s="4">
        <v>46216</v>
      </c>
      <c r="L271" s="5" t="s">
        <v>126</v>
      </c>
      <c r="M271" s="8"/>
      <c r="N271" s="8"/>
      <c r="O271" s="5">
        <v>380060</v>
      </c>
      <c r="P271" s="9" t="s">
        <v>58</v>
      </c>
      <c r="Q271" s="9" t="s">
        <v>32</v>
      </c>
      <c r="R271" s="9" t="s">
        <v>41</v>
      </c>
      <c r="S271" s="9">
        <v>2</v>
      </c>
      <c r="T271" s="9" t="s">
        <v>67</v>
      </c>
      <c r="U271" s="5">
        <v>10450</v>
      </c>
      <c r="V271">
        <f t="shared" si="15"/>
        <v>20900</v>
      </c>
      <c r="W271" s="10">
        <v>0.18</v>
      </c>
      <c r="X271" s="11">
        <f t="shared" si="16"/>
        <v>3762</v>
      </c>
      <c r="Y271">
        <v>0</v>
      </c>
      <c r="Z271" s="11">
        <f t="shared" si="17"/>
        <v>24662</v>
      </c>
    </row>
    <row r="272" spans="1:26" ht="90">
      <c r="A272" s="9" t="s">
        <v>301</v>
      </c>
      <c r="B272" s="5" t="s">
        <v>225</v>
      </c>
      <c r="C272" s="5" t="s">
        <v>225</v>
      </c>
      <c r="D272" s="5" t="s">
        <v>225</v>
      </c>
      <c r="E272" s="5" t="s">
        <v>226</v>
      </c>
      <c r="F272" s="6" t="s">
        <v>26</v>
      </c>
      <c r="G272" s="5" t="s">
        <v>227</v>
      </c>
      <c r="H272" s="5" t="s">
        <v>227</v>
      </c>
      <c r="I272" s="7" t="s">
        <v>28</v>
      </c>
      <c r="J272" s="8" t="s">
        <v>29</v>
      </c>
      <c r="K272" s="9" t="s">
        <v>301</v>
      </c>
      <c r="L272" s="5" t="s">
        <v>228</v>
      </c>
      <c r="M272" s="8"/>
      <c r="N272" s="8"/>
      <c r="O272" s="5">
        <v>380015</v>
      </c>
      <c r="P272" s="9" t="s">
        <v>143</v>
      </c>
      <c r="Q272" s="9" t="s">
        <v>302</v>
      </c>
      <c r="R272" s="9" t="s">
        <v>50</v>
      </c>
      <c r="S272" s="9">
        <v>21</v>
      </c>
      <c r="T272" s="9" t="s">
        <v>34</v>
      </c>
      <c r="U272" s="5">
        <v>3933</v>
      </c>
      <c r="V272">
        <f t="shared" si="15"/>
        <v>82593</v>
      </c>
      <c r="W272" s="10">
        <v>0.18</v>
      </c>
      <c r="X272" s="11">
        <f t="shared" si="16"/>
        <v>14866.74</v>
      </c>
      <c r="Y272">
        <v>0</v>
      </c>
      <c r="Z272" s="11">
        <f t="shared" si="17"/>
        <v>97459.74</v>
      </c>
    </row>
    <row r="273" spans="1:26" ht="105">
      <c r="A273" s="9" t="s">
        <v>301</v>
      </c>
      <c r="B273" s="5" t="s">
        <v>303</v>
      </c>
      <c r="C273" s="5" t="s">
        <v>303</v>
      </c>
      <c r="D273" s="5" t="s">
        <v>303</v>
      </c>
      <c r="E273" s="5" t="s">
        <v>74</v>
      </c>
      <c r="F273" s="6" t="s">
        <v>26</v>
      </c>
      <c r="G273" s="5" t="s">
        <v>304</v>
      </c>
      <c r="H273" s="5" t="s">
        <v>304</v>
      </c>
      <c r="I273" s="7" t="s">
        <v>28</v>
      </c>
      <c r="J273" s="8" t="s">
        <v>29</v>
      </c>
      <c r="K273" s="9" t="s">
        <v>301</v>
      </c>
      <c r="L273" s="5" t="s">
        <v>305</v>
      </c>
      <c r="M273" s="8"/>
      <c r="N273" s="8"/>
      <c r="O273" s="5">
        <v>382415</v>
      </c>
      <c r="P273" s="9" t="s">
        <v>31</v>
      </c>
      <c r="Q273" s="9" t="s">
        <v>46</v>
      </c>
      <c r="R273" s="9" t="s">
        <v>41</v>
      </c>
      <c r="S273" s="9">
        <v>16</v>
      </c>
      <c r="T273" s="9" t="s">
        <v>34</v>
      </c>
      <c r="U273" s="5">
        <v>14946</v>
      </c>
      <c r="V273">
        <f t="shared" si="15"/>
        <v>239136</v>
      </c>
      <c r="W273" s="10">
        <v>0.18</v>
      </c>
      <c r="X273" s="11">
        <f t="shared" si="16"/>
        <v>43044.480000000003</v>
      </c>
      <c r="Y273">
        <v>0</v>
      </c>
      <c r="Z273" s="11">
        <f t="shared" si="17"/>
        <v>282180.47999999998</v>
      </c>
    </row>
    <row r="274" spans="1:26" ht="105">
      <c r="A274" s="9" t="s">
        <v>301</v>
      </c>
      <c r="B274" s="5" t="s">
        <v>303</v>
      </c>
      <c r="C274" s="5" t="s">
        <v>303</v>
      </c>
      <c r="D274" s="5" t="s">
        <v>303</v>
      </c>
      <c r="E274" s="5" t="s">
        <v>74</v>
      </c>
      <c r="F274" s="6" t="s">
        <v>26</v>
      </c>
      <c r="G274" s="5" t="s">
        <v>304</v>
      </c>
      <c r="H274" s="5" t="s">
        <v>304</v>
      </c>
      <c r="I274" s="7" t="s">
        <v>28</v>
      </c>
      <c r="J274" s="8" t="s">
        <v>29</v>
      </c>
      <c r="K274" s="9" t="s">
        <v>301</v>
      </c>
      <c r="L274" s="5" t="s">
        <v>305</v>
      </c>
      <c r="M274" s="8"/>
      <c r="N274" s="8"/>
      <c r="O274" s="5">
        <v>382415</v>
      </c>
      <c r="P274" s="9" t="s">
        <v>31</v>
      </c>
      <c r="Q274" s="9" t="s">
        <v>77</v>
      </c>
      <c r="R274" s="9" t="s">
        <v>41</v>
      </c>
      <c r="S274" s="9">
        <v>17</v>
      </c>
      <c r="T274" s="9" t="s">
        <v>34</v>
      </c>
      <c r="U274" s="5">
        <v>21714</v>
      </c>
      <c r="V274">
        <f t="shared" si="15"/>
        <v>369138</v>
      </c>
      <c r="W274" s="10">
        <v>0.18</v>
      </c>
      <c r="X274" s="11">
        <f t="shared" si="16"/>
        <v>66444.84</v>
      </c>
      <c r="Y274">
        <v>0</v>
      </c>
      <c r="Z274" s="11">
        <f t="shared" si="17"/>
        <v>435582.84</v>
      </c>
    </row>
    <row r="275" spans="1:26" ht="105">
      <c r="A275" s="9" t="s">
        <v>301</v>
      </c>
      <c r="B275" s="5" t="s">
        <v>303</v>
      </c>
      <c r="C275" s="5" t="s">
        <v>303</v>
      </c>
      <c r="D275" s="5" t="s">
        <v>303</v>
      </c>
      <c r="E275" s="5" t="s">
        <v>74</v>
      </c>
      <c r="F275" s="6" t="s">
        <v>26</v>
      </c>
      <c r="G275" s="5" t="s">
        <v>304</v>
      </c>
      <c r="H275" s="5" t="s">
        <v>304</v>
      </c>
      <c r="I275" s="7" t="s">
        <v>28</v>
      </c>
      <c r="J275" s="8" t="s">
        <v>29</v>
      </c>
      <c r="K275" s="9" t="s">
        <v>301</v>
      </c>
      <c r="L275" s="5" t="s">
        <v>305</v>
      </c>
      <c r="M275" s="8"/>
      <c r="N275" s="8"/>
      <c r="O275" s="5">
        <v>382415</v>
      </c>
      <c r="P275" s="9" t="s">
        <v>31</v>
      </c>
      <c r="Q275" s="9" t="s">
        <v>198</v>
      </c>
      <c r="R275" s="9" t="s">
        <v>41</v>
      </c>
      <c r="S275" s="9">
        <v>17</v>
      </c>
      <c r="T275" s="9" t="s">
        <v>34</v>
      </c>
      <c r="U275" s="5">
        <v>23100</v>
      </c>
      <c r="V275">
        <f t="shared" si="15"/>
        <v>392700</v>
      </c>
      <c r="W275" s="10">
        <v>0.18</v>
      </c>
      <c r="X275" s="11">
        <f t="shared" si="16"/>
        <v>70686</v>
      </c>
      <c r="Y275">
        <v>0</v>
      </c>
      <c r="Z275" s="11">
        <f t="shared" si="17"/>
        <v>463386</v>
      </c>
    </row>
    <row r="276" spans="1:26" ht="105">
      <c r="A276" s="9" t="s">
        <v>301</v>
      </c>
      <c r="B276" s="5" t="s">
        <v>303</v>
      </c>
      <c r="C276" s="5" t="s">
        <v>303</v>
      </c>
      <c r="D276" s="5" t="s">
        <v>303</v>
      </c>
      <c r="E276" s="5" t="s">
        <v>74</v>
      </c>
      <c r="F276" s="6" t="s">
        <v>26</v>
      </c>
      <c r="G276" s="5" t="s">
        <v>304</v>
      </c>
      <c r="H276" s="5" t="s">
        <v>304</v>
      </c>
      <c r="I276" s="7" t="s">
        <v>28</v>
      </c>
      <c r="J276" s="8" t="s">
        <v>29</v>
      </c>
      <c r="K276" s="9" t="s">
        <v>301</v>
      </c>
      <c r="L276" s="5" t="s">
        <v>305</v>
      </c>
      <c r="M276" s="8"/>
      <c r="N276" s="8"/>
      <c r="O276" s="5">
        <v>382415</v>
      </c>
      <c r="P276" s="9" t="s">
        <v>31</v>
      </c>
      <c r="Q276" s="9" t="s">
        <v>78</v>
      </c>
      <c r="R276" s="9" t="s">
        <v>41</v>
      </c>
      <c r="S276" s="9">
        <v>5</v>
      </c>
      <c r="T276" s="9" t="s">
        <v>34</v>
      </c>
      <c r="U276" s="5">
        <v>36010</v>
      </c>
      <c r="V276">
        <f t="shared" si="15"/>
        <v>180050</v>
      </c>
      <c r="W276" s="10">
        <v>0.18</v>
      </c>
      <c r="X276" s="11">
        <f t="shared" si="16"/>
        <v>32409</v>
      </c>
      <c r="Y276">
        <v>0</v>
      </c>
      <c r="Z276" s="11">
        <f t="shared" si="17"/>
        <v>212459</v>
      </c>
    </row>
    <row r="277" spans="1:26" ht="30">
      <c r="A277" s="4">
        <v>46217</v>
      </c>
      <c r="B277" s="9" t="s">
        <v>59</v>
      </c>
      <c r="C277" s="9" t="s">
        <v>59</v>
      </c>
      <c r="D277" s="9" t="s">
        <v>59</v>
      </c>
      <c r="E277" s="5" t="s">
        <v>60</v>
      </c>
      <c r="F277" s="6" t="s">
        <v>26</v>
      </c>
      <c r="G277" s="5" t="s">
        <v>61</v>
      </c>
      <c r="H277" s="5" t="s">
        <v>61</v>
      </c>
      <c r="I277" s="7" t="s">
        <v>28</v>
      </c>
      <c r="J277" s="8" t="s">
        <v>29</v>
      </c>
      <c r="K277" s="4">
        <v>46217</v>
      </c>
      <c r="L277" s="5" t="s">
        <v>62</v>
      </c>
      <c r="M277" s="8"/>
      <c r="N277" s="8"/>
      <c r="O277" s="5">
        <v>361006</v>
      </c>
      <c r="P277" s="9" t="s">
        <v>31</v>
      </c>
      <c r="Q277" s="9" t="s">
        <v>52</v>
      </c>
      <c r="R277" s="9" t="s">
        <v>50</v>
      </c>
      <c r="S277" s="9">
        <v>7</v>
      </c>
      <c r="T277" s="9" t="s">
        <v>34</v>
      </c>
      <c r="U277" s="5">
        <v>2998</v>
      </c>
      <c r="V277">
        <f t="shared" si="15"/>
        <v>20986</v>
      </c>
      <c r="W277" s="10">
        <v>0.18</v>
      </c>
      <c r="X277" s="11">
        <f t="shared" si="16"/>
        <v>3777.48</v>
      </c>
      <c r="Y277">
        <v>0</v>
      </c>
      <c r="Z277" s="11">
        <f t="shared" si="17"/>
        <v>24763.48</v>
      </c>
    </row>
    <row r="278" spans="1:26" ht="30">
      <c r="A278" s="4">
        <v>46217</v>
      </c>
      <c r="B278" s="9" t="s">
        <v>59</v>
      </c>
      <c r="C278" s="9" t="s">
        <v>59</v>
      </c>
      <c r="D278" s="9" t="s">
        <v>59</v>
      </c>
      <c r="E278" s="5" t="s">
        <v>60</v>
      </c>
      <c r="F278" s="6" t="s">
        <v>26</v>
      </c>
      <c r="G278" s="5" t="s">
        <v>61</v>
      </c>
      <c r="H278" s="5" t="s">
        <v>61</v>
      </c>
      <c r="I278" s="7" t="s">
        <v>28</v>
      </c>
      <c r="J278" s="8" t="s">
        <v>29</v>
      </c>
      <c r="K278" s="4">
        <v>46217</v>
      </c>
      <c r="L278" s="5" t="s">
        <v>62</v>
      </c>
      <c r="M278" s="8"/>
      <c r="N278" s="8"/>
      <c r="O278" s="5">
        <v>361006</v>
      </c>
      <c r="P278" s="9" t="s">
        <v>31</v>
      </c>
      <c r="Q278" s="9" t="s">
        <v>32</v>
      </c>
      <c r="R278" s="9" t="s">
        <v>50</v>
      </c>
      <c r="S278" s="9">
        <v>5</v>
      </c>
      <c r="T278" s="9" t="s">
        <v>34</v>
      </c>
      <c r="U278" s="5">
        <v>6875</v>
      </c>
      <c r="V278">
        <f t="shared" si="15"/>
        <v>34375</v>
      </c>
      <c r="W278" s="10">
        <v>0.18</v>
      </c>
      <c r="X278" s="11">
        <f t="shared" si="16"/>
        <v>6187.5</v>
      </c>
      <c r="Y278">
        <v>0</v>
      </c>
      <c r="Z278" s="11">
        <f t="shared" si="17"/>
        <v>40562.5</v>
      </c>
    </row>
    <row r="279" spans="1:26" ht="30">
      <c r="A279" s="4">
        <v>46217</v>
      </c>
      <c r="B279" s="9" t="s">
        <v>59</v>
      </c>
      <c r="C279" s="9" t="s">
        <v>59</v>
      </c>
      <c r="D279" s="9" t="s">
        <v>59</v>
      </c>
      <c r="E279" s="5" t="s">
        <v>60</v>
      </c>
      <c r="F279" s="6" t="s">
        <v>26</v>
      </c>
      <c r="G279" s="5" t="s">
        <v>61</v>
      </c>
      <c r="H279" s="5" t="s">
        <v>61</v>
      </c>
      <c r="I279" s="7" t="s">
        <v>28</v>
      </c>
      <c r="J279" s="8" t="s">
        <v>29</v>
      </c>
      <c r="K279" s="4">
        <v>46217</v>
      </c>
      <c r="L279" s="5" t="s">
        <v>62</v>
      </c>
      <c r="M279" s="8"/>
      <c r="N279" s="8"/>
      <c r="O279" s="5">
        <v>361006</v>
      </c>
      <c r="P279" s="9" t="s">
        <v>31</v>
      </c>
      <c r="Q279" s="9" t="s">
        <v>32</v>
      </c>
      <c r="R279" s="9" t="s">
        <v>47</v>
      </c>
      <c r="S279" s="9">
        <v>3</v>
      </c>
      <c r="T279" s="9" t="s">
        <v>34</v>
      </c>
      <c r="U279" s="5">
        <v>8910</v>
      </c>
      <c r="V279">
        <f t="shared" si="15"/>
        <v>26730</v>
      </c>
      <c r="W279" s="10">
        <v>0.18</v>
      </c>
      <c r="X279" s="11">
        <f t="shared" si="16"/>
        <v>4811.3999999999996</v>
      </c>
      <c r="Y279">
        <v>0</v>
      </c>
      <c r="Z279" s="11">
        <f t="shared" si="17"/>
        <v>31541.4</v>
      </c>
    </row>
    <row r="280" spans="1:26" ht="60">
      <c r="A280" s="4">
        <v>46219</v>
      </c>
      <c r="B280" s="5" t="s">
        <v>306</v>
      </c>
      <c r="C280" s="5" t="s">
        <v>306</v>
      </c>
      <c r="D280" s="5" t="s">
        <v>306</v>
      </c>
      <c r="E280" s="5" t="s">
        <v>307</v>
      </c>
      <c r="F280" s="6" t="s">
        <v>26</v>
      </c>
      <c r="G280" s="5" t="s">
        <v>308</v>
      </c>
      <c r="H280" s="5" t="s">
        <v>308</v>
      </c>
      <c r="I280" s="7" t="s">
        <v>28</v>
      </c>
      <c r="J280" s="8" t="s">
        <v>29</v>
      </c>
      <c r="K280" s="4">
        <v>46219</v>
      </c>
      <c r="L280" s="5" t="s">
        <v>309</v>
      </c>
      <c r="M280" s="8"/>
      <c r="N280" s="8"/>
      <c r="O280" s="5">
        <v>360007</v>
      </c>
      <c r="P280" s="9" t="s">
        <v>31</v>
      </c>
      <c r="Q280" s="9" t="s">
        <v>121</v>
      </c>
      <c r="R280" s="9" t="s">
        <v>50</v>
      </c>
      <c r="S280" s="9">
        <v>1</v>
      </c>
      <c r="T280" s="9" t="s">
        <v>34</v>
      </c>
      <c r="U280" s="5">
        <v>10500</v>
      </c>
      <c r="V280">
        <f t="shared" si="15"/>
        <v>10500</v>
      </c>
      <c r="W280" s="10">
        <v>0.18</v>
      </c>
      <c r="X280" s="11">
        <f t="shared" si="16"/>
        <v>1890</v>
      </c>
      <c r="Y280">
        <v>0</v>
      </c>
      <c r="Z280" s="11">
        <f t="shared" si="17"/>
        <v>12390</v>
      </c>
    </row>
    <row r="281" spans="1:26" ht="90">
      <c r="A281" s="9" t="s">
        <v>310</v>
      </c>
      <c r="B281" s="5" t="s">
        <v>311</v>
      </c>
      <c r="C281" s="5" t="s">
        <v>311</v>
      </c>
      <c r="D281" s="5" t="s">
        <v>311</v>
      </c>
      <c r="E281" s="5" t="s">
        <v>312</v>
      </c>
      <c r="F281" s="6" t="s">
        <v>26</v>
      </c>
      <c r="G281" s="5" t="s">
        <v>313</v>
      </c>
      <c r="H281" s="5" t="s">
        <v>313</v>
      </c>
      <c r="I281" s="7" t="s">
        <v>28</v>
      </c>
      <c r="J281" s="8" t="s">
        <v>29</v>
      </c>
      <c r="K281" s="9" t="s">
        <v>310</v>
      </c>
      <c r="L281" s="5" t="s">
        <v>314</v>
      </c>
      <c r="M281" s="8"/>
      <c r="N281" s="8"/>
      <c r="O281" s="5">
        <v>380058</v>
      </c>
      <c r="P281" s="9" t="s">
        <v>58</v>
      </c>
      <c r="Q281" s="9" t="s">
        <v>315</v>
      </c>
      <c r="R281" s="9" t="s">
        <v>90</v>
      </c>
      <c r="S281" s="9">
        <v>2</v>
      </c>
      <c r="T281" s="9" t="s">
        <v>67</v>
      </c>
      <c r="U281" s="5">
        <v>5700</v>
      </c>
      <c r="V281">
        <f t="shared" si="15"/>
        <v>11400</v>
      </c>
      <c r="W281" s="10">
        <v>0.18</v>
      </c>
      <c r="X281" s="11">
        <f t="shared" si="16"/>
        <v>2052</v>
      </c>
      <c r="Y281">
        <v>0</v>
      </c>
      <c r="Z281" s="11">
        <f t="shared" si="17"/>
        <v>13452</v>
      </c>
    </row>
    <row r="282" spans="1:26" ht="90">
      <c r="A282" s="9" t="s">
        <v>310</v>
      </c>
      <c r="B282" s="5" t="s">
        <v>316</v>
      </c>
      <c r="C282" s="5" t="s">
        <v>316</v>
      </c>
      <c r="D282" s="5" t="s">
        <v>316</v>
      </c>
      <c r="E282" s="5" t="s">
        <v>317</v>
      </c>
      <c r="F282" s="6" t="s">
        <v>26</v>
      </c>
      <c r="G282" s="5"/>
      <c r="H282" s="5"/>
      <c r="I282" s="7" t="s">
        <v>28</v>
      </c>
      <c r="J282" s="8" t="s">
        <v>29</v>
      </c>
      <c r="K282" s="9" t="s">
        <v>310</v>
      </c>
      <c r="L282" s="5" t="s">
        <v>318</v>
      </c>
      <c r="M282" s="8"/>
      <c r="N282" s="8"/>
      <c r="O282" s="5">
        <v>389350</v>
      </c>
      <c r="P282" s="9" t="s">
        <v>31</v>
      </c>
      <c r="Q282" s="9" t="s">
        <v>319</v>
      </c>
      <c r="R282" s="9" t="s">
        <v>50</v>
      </c>
      <c r="S282" s="9">
        <v>1</v>
      </c>
      <c r="T282" s="9" t="s">
        <v>34</v>
      </c>
      <c r="U282" s="5">
        <v>30030</v>
      </c>
      <c r="V282">
        <f t="shared" si="15"/>
        <v>30030</v>
      </c>
      <c r="W282" s="10">
        <v>0.18</v>
      </c>
      <c r="X282" s="11">
        <f t="shared" si="16"/>
        <v>5405.4</v>
      </c>
      <c r="Y282">
        <v>0</v>
      </c>
      <c r="Z282" s="11">
        <f t="shared" si="17"/>
        <v>35435.4</v>
      </c>
    </row>
    <row r="283" spans="1:26" ht="90">
      <c r="A283" s="9" t="s">
        <v>310</v>
      </c>
      <c r="B283" s="5" t="s">
        <v>316</v>
      </c>
      <c r="C283" s="5" t="s">
        <v>316</v>
      </c>
      <c r="D283" s="5" t="s">
        <v>316</v>
      </c>
      <c r="E283" s="5" t="s">
        <v>317</v>
      </c>
      <c r="F283" s="6" t="s">
        <v>26</v>
      </c>
      <c r="G283" s="5"/>
      <c r="H283" s="5"/>
      <c r="I283" s="7" t="s">
        <v>28</v>
      </c>
      <c r="J283" s="8" t="s">
        <v>29</v>
      </c>
      <c r="K283" s="9" t="s">
        <v>310</v>
      </c>
      <c r="L283" s="5" t="s">
        <v>318</v>
      </c>
      <c r="M283" s="8"/>
      <c r="N283" s="8"/>
      <c r="O283" s="5">
        <v>389350</v>
      </c>
      <c r="P283" s="9" t="s">
        <v>31</v>
      </c>
      <c r="Q283" s="9" t="s">
        <v>229</v>
      </c>
      <c r="R283" s="9" t="s">
        <v>50</v>
      </c>
      <c r="S283" s="9">
        <v>19</v>
      </c>
      <c r="T283" s="9" t="s">
        <v>34</v>
      </c>
      <c r="U283" s="5">
        <v>25532</v>
      </c>
      <c r="V283">
        <f t="shared" si="15"/>
        <v>485108</v>
      </c>
      <c r="W283" s="10">
        <v>0.18</v>
      </c>
      <c r="X283" s="11">
        <f t="shared" si="16"/>
        <v>87319.44</v>
      </c>
      <c r="Y283">
        <v>0</v>
      </c>
      <c r="Z283" s="11">
        <f t="shared" si="17"/>
        <v>572427.43999999994</v>
      </c>
    </row>
    <row r="284" spans="1:26" ht="90">
      <c r="A284" s="9" t="s">
        <v>310</v>
      </c>
      <c r="B284" s="5" t="s">
        <v>316</v>
      </c>
      <c r="C284" s="5" t="s">
        <v>316</v>
      </c>
      <c r="D284" s="5" t="s">
        <v>316</v>
      </c>
      <c r="E284" s="5" t="s">
        <v>317</v>
      </c>
      <c r="F284" s="6" t="s">
        <v>26</v>
      </c>
      <c r="G284" s="5"/>
      <c r="H284" s="5"/>
      <c r="I284" s="7" t="s">
        <v>28</v>
      </c>
      <c r="J284" s="8" t="s">
        <v>29</v>
      </c>
      <c r="K284" s="9" t="s">
        <v>310</v>
      </c>
      <c r="L284" s="5" t="s">
        <v>318</v>
      </c>
      <c r="M284" s="8"/>
      <c r="N284" s="8"/>
      <c r="O284" s="5">
        <v>389350</v>
      </c>
      <c r="P284" s="9" t="s">
        <v>57</v>
      </c>
      <c r="Q284" s="9" t="s">
        <v>320</v>
      </c>
      <c r="R284" s="9" t="s">
        <v>50</v>
      </c>
      <c r="S284" s="9">
        <v>11</v>
      </c>
      <c r="T284" s="9" t="s">
        <v>34</v>
      </c>
      <c r="U284" s="5">
        <v>25532</v>
      </c>
      <c r="V284">
        <f t="shared" si="15"/>
        <v>280852</v>
      </c>
      <c r="W284" s="10">
        <v>0.18</v>
      </c>
      <c r="X284" s="11">
        <f t="shared" si="16"/>
        <v>50553.36</v>
      </c>
      <c r="Y284">
        <v>0</v>
      </c>
      <c r="Z284" s="11">
        <f t="shared" si="17"/>
        <v>331405.36</v>
      </c>
    </row>
    <row r="285" spans="1:26" ht="90">
      <c r="A285" s="9" t="s">
        <v>310</v>
      </c>
      <c r="B285" s="5" t="s">
        <v>316</v>
      </c>
      <c r="C285" s="5" t="s">
        <v>316</v>
      </c>
      <c r="D285" s="5" t="s">
        <v>316</v>
      </c>
      <c r="E285" s="5" t="s">
        <v>317</v>
      </c>
      <c r="F285" s="6" t="s">
        <v>26</v>
      </c>
      <c r="G285" s="5"/>
      <c r="H285" s="5"/>
      <c r="I285" s="7" t="s">
        <v>28</v>
      </c>
      <c r="J285" s="8" t="s">
        <v>29</v>
      </c>
      <c r="K285" s="9" t="s">
        <v>310</v>
      </c>
      <c r="L285" s="5" t="s">
        <v>318</v>
      </c>
      <c r="M285" s="8"/>
      <c r="N285" s="8"/>
      <c r="O285" s="5">
        <v>389350</v>
      </c>
      <c r="P285" s="9" t="s">
        <v>31</v>
      </c>
      <c r="Q285" s="9" t="s">
        <v>32</v>
      </c>
      <c r="R285" s="9" t="s">
        <v>50</v>
      </c>
      <c r="S285" s="9">
        <v>20</v>
      </c>
      <c r="T285" s="9" t="s">
        <v>34</v>
      </c>
      <c r="U285" s="5">
        <v>6750</v>
      </c>
      <c r="V285">
        <f t="shared" si="15"/>
        <v>135000</v>
      </c>
      <c r="W285" s="10">
        <v>0.18</v>
      </c>
      <c r="X285" s="11">
        <f t="shared" si="16"/>
        <v>24300</v>
      </c>
      <c r="Y285">
        <v>0</v>
      </c>
      <c r="Z285" s="11">
        <f t="shared" si="17"/>
        <v>159300</v>
      </c>
    </row>
    <row r="286" spans="1:26" ht="90">
      <c r="A286" s="9" t="s">
        <v>310</v>
      </c>
      <c r="B286" s="5" t="s">
        <v>316</v>
      </c>
      <c r="C286" s="5" t="s">
        <v>316</v>
      </c>
      <c r="D286" s="5" t="s">
        <v>316</v>
      </c>
      <c r="E286" s="5" t="s">
        <v>317</v>
      </c>
      <c r="F286" s="6" t="s">
        <v>26</v>
      </c>
      <c r="G286" s="5"/>
      <c r="H286" s="5"/>
      <c r="I286" s="7" t="s">
        <v>28</v>
      </c>
      <c r="J286" s="8" t="s">
        <v>29</v>
      </c>
      <c r="K286" s="9" t="s">
        <v>310</v>
      </c>
      <c r="L286" s="5" t="s">
        <v>318</v>
      </c>
      <c r="M286" s="8"/>
      <c r="N286" s="8"/>
      <c r="O286" s="5">
        <v>389350</v>
      </c>
      <c r="P286" s="9" t="s">
        <v>57</v>
      </c>
      <c r="Q286" s="9" t="s">
        <v>32</v>
      </c>
      <c r="R286" s="9" t="s">
        <v>50</v>
      </c>
      <c r="S286" s="9">
        <v>20</v>
      </c>
      <c r="T286" s="9" t="s">
        <v>34</v>
      </c>
      <c r="U286" s="5">
        <v>6750</v>
      </c>
      <c r="V286">
        <f t="shared" si="15"/>
        <v>135000</v>
      </c>
      <c r="W286" s="10">
        <v>0.18</v>
      </c>
      <c r="X286" s="11">
        <f t="shared" si="16"/>
        <v>24300</v>
      </c>
      <c r="Y286">
        <v>0</v>
      </c>
      <c r="Z286" s="11">
        <f t="shared" si="17"/>
        <v>159300</v>
      </c>
    </row>
    <row r="287" spans="1:26" ht="90">
      <c r="A287" s="9" t="s">
        <v>310</v>
      </c>
      <c r="B287" s="5" t="s">
        <v>316</v>
      </c>
      <c r="C287" s="5" t="s">
        <v>316</v>
      </c>
      <c r="D287" s="5" t="s">
        <v>316</v>
      </c>
      <c r="E287" s="5" t="s">
        <v>317</v>
      </c>
      <c r="F287" s="6" t="s">
        <v>26</v>
      </c>
      <c r="G287" s="5"/>
      <c r="H287" s="5"/>
      <c r="I287" s="7" t="s">
        <v>28</v>
      </c>
      <c r="J287" s="8" t="s">
        <v>29</v>
      </c>
      <c r="K287" s="9" t="s">
        <v>310</v>
      </c>
      <c r="L287" s="5" t="s">
        <v>318</v>
      </c>
      <c r="M287" s="8"/>
      <c r="N287" s="8"/>
      <c r="O287" s="5">
        <v>389350</v>
      </c>
      <c r="P287" s="9" t="s">
        <v>31</v>
      </c>
      <c r="Q287" s="9" t="s">
        <v>72</v>
      </c>
      <c r="R287" s="9" t="s">
        <v>50</v>
      </c>
      <c r="S287" s="9">
        <v>13</v>
      </c>
      <c r="T287" s="9" t="s">
        <v>34</v>
      </c>
      <c r="U287" s="5">
        <v>15496</v>
      </c>
      <c r="V287">
        <f t="shared" si="15"/>
        <v>201448</v>
      </c>
      <c r="W287" s="10">
        <v>0.18</v>
      </c>
      <c r="X287" s="11">
        <f t="shared" si="16"/>
        <v>36260.639999999999</v>
      </c>
      <c r="Y287">
        <v>0</v>
      </c>
      <c r="Z287" s="11">
        <f t="shared" si="17"/>
        <v>237708.64</v>
      </c>
    </row>
    <row r="288" spans="1:26" ht="90">
      <c r="A288" s="9" t="s">
        <v>310</v>
      </c>
      <c r="B288" s="5" t="s">
        <v>316</v>
      </c>
      <c r="C288" s="5" t="s">
        <v>316</v>
      </c>
      <c r="D288" s="5" t="s">
        <v>316</v>
      </c>
      <c r="E288" s="5" t="s">
        <v>317</v>
      </c>
      <c r="F288" s="6" t="s">
        <v>26</v>
      </c>
      <c r="G288" s="5"/>
      <c r="H288" s="5"/>
      <c r="I288" s="7" t="s">
        <v>28</v>
      </c>
      <c r="J288" s="8" t="s">
        <v>29</v>
      </c>
      <c r="K288" s="9" t="s">
        <v>310</v>
      </c>
      <c r="L288" s="5" t="s">
        <v>318</v>
      </c>
      <c r="M288" s="8"/>
      <c r="N288" s="8"/>
      <c r="O288" s="5">
        <v>389350</v>
      </c>
      <c r="P288" s="9" t="s">
        <v>57</v>
      </c>
      <c r="Q288" s="9" t="s">
        <v>72</v>
      </c>
      <c r="R288" s="9" t="s">
        <v>50</v>
      </c>
      <c r="S288" s="9">
        <v>3</v>
      </c>
      <c r="T288" s="9" t="s">
        <v>34</v>
      </c>
      <c r="U288" s="5">
        <v>15496</v>
      </c>
      <c r="V288">
        <f t="shared" si="15"/>
        <v>46488</v>
      </c>
      <c r="W288" s="10">
        <v>0.18</v>
      </c>
      <c r="X288" s="11">
        <f t="shared" si="16"/>
        <v>8367.84</v>
      </c>
      <c r="Y288">
        <v>0</v>
      </c>
      <c r="Z288" s="11">
        <f t="shared" si="17"/>
        <v>54855.839999999997</v>
      </c>
    </row>
    <row r="289" spans="1:26" ht="90">
      <c r="A289" s="4">
        <v>46220</v>
      </c>
      <c r="B289" s="5" t="s">
        <v>321</v>
      </c>
      <c r="C289" s="5" t="s">
        <v>321</v>
      </c>
      <c r="D289" s="5" t="s">
        <v>321</v>
      </c>
      <c r="E289" s="5" t="s">
        <v>322</v>
      </c>
      <c r="F289" s="6" t="s">
        <v>26</v>
      </c>
      <c r="G289" s="5" t="s">
        <v>323</v>
      </c>
      <c r="H289" s="5" t="s">
        <v>323</v>
      </c>
      <c r="I289" s="7" t="s">
        <v>28</v>
      </c>
      <c r="J289" s="8" t="s">
        <v>29</v>
      </c>
      <c r="K289" s="4">
        <v>46220</v>
      </c>
      <c r="L289" s="5" t="s">
        <v>324</v>
      </c>
      <c r="M289" s="8"/>
      <c r="N289" s="8"/>
      <c r="O289" s="5">
        <v>361006</v>
      </c>
      <c r="P289" s="9" t="s">
        <v>31</v>
      </c>
      <c r="Q289" s="9" t="s">
        <v>72</v>
      </c>
      <c r="R289" s="9" t="s">
        <v>33</v>
      </c>
      <c r="S289" s="9">
        <v>13</v>
      </c>
      <c r="T289" s="9" t="s">
        <v>34</v>
      </c>
      <c r="U289" s="5">
        <v>15300</v>
      </c>
      <c r="V289">
        <f t="shared" si="15"/>
        <v>198900</v>
      </c>
      <c r="W289" s="10">
        <v>0.18</v>
      </c>
      <c r="X289" s="11">
        <f t="shared" si="16"/>
        <v>35802</v>
      </c>
      <c r="Y289">
        <v>0</v>
      </c>
      <c r="Z289" s="11">
        <f t="shared" si="17"/>
        <v>234702</v>
      </c>
    </row>
    <row r="290" spans="1:26" ht="30">
      <c r="A290" s="4">
        <v>46221</v>
      </c>
      <c r="B290" s="9" t="s">
        <v>42</v>
      </c>
      <c r="C290" s="9" t="s">
        <v>42</v>
      </c>
      <c r="D290" s="9" t="s">
        <v>42</v>
      </c>
      <c r="E290" s="5" t="s">
        <v>43</v>
      </c>
      <c r="F290" s="6" t="s">
        <v>26</v>
      </c>
      <c r="G290" s="5" t="s">
        <v>44</v>
      </c>
      <c r="H290" s="5" t="s">
        <v>44</v>
      </c>
      <c r="I290" s="7" t="s">
        <v>28</v>
      </c>
      <c r="J290" s="8" t="s">
        <v>29</v>
      </c>
      <c r="K290" s="4">
        <v>46221</v>
      </c>
      <c r="L290" s="5" t="s">
        <v>45</v>
      </c>
      <c r="M290" s="8"/>
      <c r="N290" s="8"/>
      <c r="O290" s="5">
        <v>600001</v>
      </c>
      <c r="P290" s="9" t="s">
        <v>31</v>
      </c>
      <c r="Q290" s="9" t="s">
        <v>325</v>
      </c>
      <c r="R290" s="9" t="s">
        <v>50</v>
      </c>
      <c r="S290" s="9">
        <v>82</v>
      </c>
      <c r="T290" s="9" t="s">
        <v>34</v>
      </c>
      <c r="U290" s="5">
        <v>18900</v>
      </c>
      <c r="V290">
        <f t="shared" si="15"/>
        <v>1549800</v>
      </c>
      <c r="W290" s="10">
        <v>0.18</v>
      </c>
      <c r="X290" s="11">
        <f t="shared" si="16"/>
        <v>278964</v>
      </c>
      <c r="Y290">
        <v>0</v>
      </c>
      <c r="Z290" s="11">
        <f t="shared" si="17"/>
        <v>1828764</v>
      </c>
    </row>
    <row r="291" spans="1:26" ht="30">
      <c r="A291" s="4">
        <v>46221</v>
      </c>
      <c r="B291" s="9" t="s">
        <v>42</v>
      </c>
      <c r="C291" s="9" t="s">
        <v>42</v>
      </c>
      <c r="D291" s="9" t="s">
        <v>42</v>
      </c>
      <c r="E291" s="5" t="s">
        <v>43</v>
      </c>
      <c r="F291" s="6" t="s">
        <v>26</v>
      </c>
      <c r="G291" s="5" t="s">
        <v>44</v>
      </c>
      <c r="H291" s="5" t="s">
        <v>44</v>
      </c>
      <c r="I291" s="7" t="s">
        <v>28</v>
      </c>
      <c r="J291" s="8" t="s">
        <v>29</v>
      </c>
      <c r="K291" s="4">
        <v>46221</v>
      </c>
      <c r="L291" s="5" t="s">
        <v>45</v>
      </c>
      <c r="M291" s="8"/>
      <c r="N291" s="8"/>
      <c r="O291" s="5">
        <v>600001</v>
      </c>
      <c r="P291" s="9" t="s">
        <v>58</v>
      </c>
      <c r="Q291" s="9" t="s">
        <v>32</v>
      </c>
      <c r="R291" s="9" t="s">
        <v>41</v>
      </c>
      <c r="S291" s="9">
        <v>2</v>
      </c>
      <c r="T291" s="9" t="s">
        <v>34</v>
      </c>
      <c r="U291" s="5">
        <v>9300</v>
      </c>
      <c r="V291">
        <f t="shared" si="15"/>
        <v>18600</v>
      </c>
      <c r="W291" s="10">
        <v>0.18</v>
      </c>
      <c r="X291" s="11">
        <f t="shared" si="16"/>
        <v>3348</v>
      </c>
      <c r="Y291">
        <v>0</v>
      </c>
      <c r="Z291" s="11">
        <f t="shared" si="17"/>
        <v>21948</v>
      </c>
    </row>
    <row r="292" spans="1:26" ht="30">
      <c r="A292" s="4">
        <v>46221</v>
      </c>
      <c r="B292" s="9" t="s">
        <v>42</v>
      </c>
      <c r="C292" s="9" t="s">
        <v>42</v>
      </c>
      <c r="D292" s="9" t="s">
        <v>42</v>
      </c>
      <c r="E292" s="5" t="s">
        <v>43</v>
      </c>
      <c r="F292" s="6" t="s">
        <v>26</v>
      </c>
      <c r="G292" s="5" t="s">
        <v>44</v>
      </c>
      <c r="H292" s="5" t="s">
        <v>44</v>
      </c>
      <c r="I292" s="7" t="s">
        <v>28</v>
      </c>
      <c r="J292" s="8" t="s">
        <v>29</v>
      </c>
      <c r="K292" s="4">
        <v>46221</v>
      </c>
      <c r="L292" s="5" t="s">
        <v>45</v>
      </c>
      <c r="M292" s="8"/>
      <c r="N292" s="8"/>
      <c r="O292" s="5">
        <v>600001</v>
      </c>
      <c r="P292" s="9" t="s">
        <v>31</v>
      </c>
      <c r="Q292" s="9" t="s">
        <v>77</v>
      </c>
      <c r="R292" s="9" t="s">
        <v>41</v>
      </c>
      <c r="S292" s="9">
        <v>1</v>
      </c>
      <c r="T292" s="9" t="s">
        <v>34</v>
      </c>
      <c r="U292" s="5">
        <v>38500</v>
      </c>
      <c r="V292">
        <f t="shared" si="15"/>
        <v>38500</v>
      </c>
      <c r="W292" s="10">
        <v>0.18</v>
      </c>
      <c r="X292" s="11">
        <f t="shared" si="16"/>
        <v>6930</v>
      </c>
      <c r="Y292">
        <v>0</v>
      </c>
      <c r="Z292" s="11">
        <f t="shared" si="17"/>
        <v>45430</v>
      </c>
    </row>
    <row r="293" spans="1:26" ht="30">
      <c r="A293" s="4">
        <v>46221</v>
      </c>
      <c r="B293" s="9" t="s">
        <v>42</v>
      </c>
      <c r="C293" s="9" t="s">
        <v>42</v>
      </c>
      <c r="D293" s="9" t="s">
        <v>42</v>
      </c>
      <c r="E293" s="5" t="s">
        <v>43</v>
      </c>
      <c r="F293" s="6" t="s">
        <v>26</v>
      </c>
      <c r="G293" s="5" t="s">
        <v>44</v>
      </c>
      <c r="H293" s="5" t="s">
        <v>44</v>
      </c>
      <c r="I293" s="7" t="s">
        <v>28</v>
      </c>
      <c r="J293" s="8" t="s">
        <v>29</v>
      </c>
      <c r="K293" s="4">
        <v>46221</v>
      </c>
      <c r="L293" s="5" t="s">
        <v>45</v>
      </c>
      <c r="M293" s="8"/>
      <c r="N293" s="8"/>
      <c r="O293" s="5">
        <v>600001</v>
      </c>
      <c r="P293" s="9" t="s">
        <v>58</v>
      </c>
      <c r="Q293" s="9" t="s">
        <v>121</v>
      </c>
      <c r="R293" s="9" t="s">
        <v>41</v>
      </c>
      <c r="S293" s="9">
        <v>1</v>
      </c>
      <c r="T293" s="9" t="s">
        <v>34</v>
      </c>
      <c r="U293" s="5">
        <v>16000</v>
      </c>
      <c r="V293">
        <f t="shared" si="15"/>
        <v>16000</v>
      </c>
      <c r="W293" s="10">
        <v>0.18</v>
      </c>
      <c r="X293" s="11">
        <f t="shared" si="16"/>
        <v>2880</v>
      </c>
      <c r="Y293">
        <v>0</v>
      </c>
      <c r="Z293" s="11">
        <f t="shared" si="17"/>
        <v>18880</v>
      </c>
    </row>
    <row r="294" spans="1:26" ht="75">
      <c r="A294" s="4">
        <v>46221</v>
      </c>
      <c r="B294" s="5" t="s">
        <v>268</v>
      </c>
      <c r="C294" s="5" t="s">
        <v>268</v>
      </c>
      <c r="D294" s="5" t="s">
        <v>268</v>
      </c>
      <c r="E294" s="5" t="s">
        <v>269</v>
      </c>
      <c r="F294" s="6" t="s">
        <v>26</v>
      </c>
      <c r="G294" s="5" t="s">
        <v>270</v>
      </c>
      <c r="H294" s="5" t="s">
        <v>270</v>
      </c>
      <c r="I294" s="7" t="s">
        <v>28</v>
      </c>
      <c r="J294" s="8" t="s">
        <v>29</v>
      </c>
      <c r="K294" s="4">
        <v>46221</v>
      </c>
      <c r="L294" s="5" t="s">
        <v>271</v>
      </c>
      <c r="M294" s="8"/>
      <c r="N294" s="8"/>
      <c r="O294" s="5">
        <v>361305</v>
      </c>
      <c r="P294" s="9" t="s">
        <v>31</v>
      </c>
      <c r="Q294" s="9" t="s">
        <v>72</v>
      </c>
      <c r="R294" s="9" t="s">
        <v>50</v>
      </c>
      <c r="S294" s="9">
        <v>2</v>
      </c>
      <c r="T294" s="9" t="s">
        <v>34</v>
      </c>
      <c r="U294" s="5">
        <v>17880</v>
      </c>
      <c r="V294">
        <f t="shared" si="15"/>
        <v>35760</v>
      </c>
      <c r="W294" s="10">
        <v>0.18</v>
      </c>
      <c r="X294" s="11">
        <f t="shared" si="16"/>
        <v>6436.8</v>
      </c>
      <c r="Y294">
        <v>0</v>
      </c>
      <c r="Z294" s="11">
        <f t="shared" si="17"/>
        <v>42196.800000000003</v>
      </c>
    </row>
    <row r="295" spans="1:26" ht="75">
      <c r="A295" s="4">
        <v>46221</v>
      </c>
      <c r="B295" s="5" t="s">
        <v>268</v>
      </c>
      <c r="C295" s="5" t="s">
        <v>268</v>
      </c>
      <c r="D295" s="5" t="s">
        <v>268</v>
      </c>
      <c r="E295" s="5" t="s">
        <v>269</v>
      </c>
      <c r="F295" s="6" t="s">
        <v>26</v>
      </c>
      <c r="G295" s="5" t="s">
        <v>270</v>
      </c>
      <c r="H295" s="5" t="s">
        <v>270</v>
      </c>
      <c r="I295" s="7" t="s">
        <v>28</v>
      </c>
      <c r="J295" s="8" t="s">
        <v>29</v>
      </c>
      <c r="K295" s="4">
        <v>46221</v>
      </c>
      <c r="L295" s="5" t="s">
        <v>271</v>
      </c>
      <c r="M295" s="8"/>
      <c r="N295" s="8"/>
      <c r="O295" s="5">
        <v>361305</v>
      </c>
      <c r="P295" s="9" t="s">
        <v>31</v>
      </c>
      <c r="Q295" s="9" t="s">
        <v>77</v>
      </c>
      <c r="R295" s="9" t="s">
        <v>41</v>
      </c>
      <c r="S295" s="9">
        <v>2</v>
      </c>
      <c r="T295" s="9" t="s">
        <v>34</v>
      </c>
      <c r="U295" s="5">
        <v>34650</v>
      </c>
      <c r="V295">
        <f t="shared" si="15"/>
        <v>69300</v>
      </c>
      <c r="W295" s="10">
        <v>0.18</v>
      </c>
      <c r="X295" s="11">
        <f t="shared" si="16"/>
        <v>12474</v>
      </c>
      <c r="Y295">
        <v>0</v>
      </c>
      <c r="Z295" s="11">
        <f t="shared" si="17"/>
        <v>81774</v>
      </c>
    </row>
    <row r="296" spans="1:26" ht="30">
      <c r="A296" s="4">
        <v>46221</v>
      </c>
      <c r="B296" s="5" t="s">
        <v>84</v>
      </c>
      <c r="C296" s="5" t="s">
        <v>84</v>
      </c>
      <c r="D296" s="5" t="s">
        <v>85</v>
      </c>
      <c r="E296" s="5" t="s">
        <v>242</v>
      </c>
      <c r="F296" s="6" t="s">
        <v>26</v>
      </c>
      <c r="G296" s="5" t="s">
        <v>87</v>
      </c>
      <c r="H296" s="5" t="s">
        <v>87</v>
      </c>
      <c r="I296" s="7" t="s">
        <v>28</v>
      </c>
      <c r="J296" s="8" t="s">
        <v>29</v>
      </c>
      <c r="K296" s="4">
        <v>46221</v>
      </c>
      <c r="L296" s="5" t="s">
        <v>88</v>
      </c>
      <c r="M296" s="8"/>
      <c r="N296" s="8"/>
      <c r="O296" s="5">
        <v>380059</v>
      </c>
      <c r="P296" s="9" t="s">
        <v>31</v>
      </c>
      <c r="Q296" s="9" t="s">
        <v>89</v>
      </c>
      <c r="R296" s="9" t="s">
        <v>41</v>
      </c>
      <c r="S296" s="9">
        <v>27</v>
      </c>
      <c r="T296" s="9" t="s">
        <v>326</v>
      </c>
      <c r="U296" s="5">
        <v>1990</v>
      </c>
      <c r="V296">
        <f t="shared" si="15"/>
        <v>53730</v>
      </c>
      <c r="W296" s="10">
        <v>0.18</v>
      </c>
      <c r="X296" s="11">
        <f t="shared" si="16"/>
        <v>9671.4</v>
      </c>
      <c r="Y296">
        <v>0</v>
      </c>
      <c r="Z296" s="11">
        <f t="shared" si="17"/>
        <v>63401.4</v>
      </c>
    </row>
    <row r="297" spans="1:26" ht="30">
      <c r="A297" s="4">
        <v>46221</v>
      </c>
      <c r="B297" s="5" t="s">
        <v>84</v>
      </c>
      <c r="C297" s="5" t="s">
        <v>84</v>
      </c>
      <c r="D297" s="5" t="s">
        <v>85</v>
      </c>
      <c r="E297" s="5" t="s">
        <v>242</v>
      </c>
      <c r="F297" s="6" t="s">
        <v>26</v>
      </c>
      <c r="G297" s="5" t="s">
        <v>87</v>
      </c>
      <c r="H297" s="5" t="s">
        <v>87</v>
      </c>
      <c r="I297" s="7" t="s">
        <v>28</v>
      </c>
      <c r="J297" s="8" t="s">
        <v>29</v>
      </c>
      <c r="K297" s="4">
        <v>46221</v>
      </c>
      <c r="L297" s="5" t="s">
        <v>88</v>
      </c>
      <c r="M297" s="8"/>
      <c r="N297" s="8"/>
      <c r="O297" s="5">
        <v>380059</v>
      </c>
      <c r="P297" s="9" t="s">
        <v>31</v>
      </c>
      <c r="Q297" s="9" t="s">
        <v>115</v>
      </c>
      <c r="R297" s="9" t="s">
        <v>41</v>
      </c>
      <c r="S297" s="9">
        <v>18</v>
      </c>
      <c r="T297" s="9" t="s">
        <v>326</v>
      </c>
      <c r="U297" s="5">
        <v>409</v>
      </c>
      <c r="V297">
        <f t="shared" si="15"/>
        <v>7362</v>
      </c>
      <c r="W297" s="10">
        <v>0.18</v>
      </c>
      <c r="X297" s="11">
        <f t="shared" si="16"/>
        <v>1325.16</v>
      </c>
      <c r="Y297">
        <v>0</v>
      </c>
      <c r="Z297" s="11">
        <f t="shared" si="17"/>
        <v>8687.16</v>
      </c>
    </row>
    <row r="298" spans="1:26" ht="75">
      <c r="A298" s="4">
        <v>46224</v>
      </c>
      <c r="B298" s="5" t="s">
        <v>79</v>
      </c>
      <c r="C298" s="5" t="s">
        <v>79</v>
      </c>
      <c r="D298" s="5" t="s">
        <v>79</v>
      </c>
      <c r="E298" s="5" t="s">
        <v>80</v>
      </c>
      <c r="F298" s="6" t="s">
        <v>26</v>
      </c>
      <c r="G298" s="5" t="s">
        <v>81</v>
      </c>
      <c r="H298" s="5" t="s">
        <v>81</v>
      </c>
      <c r="I298" s="7" t="s">
        <v>28</v>
      </c>
      <c r="J298" s="8" t="s">
        <v>29</v>
      </c>
      <c r="K298" s="4">
        <v>46224</v>
      </c>
      <c r="L298" s="5" t="s">
        <v>82</v>
      </c>
      <c r="M298" s="8"/>
      <c r="N298" s="8"/>
      <c r="O298" s="5">
        <v>371004</v>
      </c>
      <c r="P298" s="9" t="s">
        <v>31</v>
      </c>
      <c r="Q298" s="9" t="s">
        <v>48</v>
      </c>
      <c r="R298" s="9" t="s">
        <v>41</v>
      </c>
      <c r="S298" s="9">
        <v>22</v>
      </c>
      <c r="T298" s="9" t="s">
        <v>34</v>
      </c>
      <c r="U298" s="5">
        <v>2760</v>
      </c>
      <c r="V298">
        <f t="shared" si="15"/>
        <v>60720</v>
      </c>
      <c r="W298" s="10">
        <v>0.18</v>
      </c>
      <c r="X298" s="11">
        <f t="shared" si="16"/>
        <v>10929.6</v>
      </c>
      <c r="Y298">
        <v>0</v>
      </c>
      <c r="Z298" s="11">
        <f t="shared" si="17"/>
        <v>71649.600000000006</v>
      </c>
    </row>
    <row r="299" spans="1:26" ht="30">
      <c r="A299" s="4">
        <v>46226</v>
      </c>
      <c r="B299" s="5" t="s">
        <v>327</v>
      </c>
      <c r="C299" s="5" t="s">
        <v>327</v>
      </c>
      <c r="D299" s="5" t="s">
        <v>327</v>
      </c>
      <c r="E299" s="5" t="s">
        <v>328</v>
      </c>
      <c r="F299" s="6" t="s">
        <v>26</v>
      </c>
      <c r="G299" s="5" t="s">
        <v>329</v>
      </c>
      <c r="H299" s="5" t="s">
        <v>329</v>
      </c>
      <c r="I299" s="7" t="s">
        <v>28</v>
      </c>
      <c r="J299" s="8" t="s">
        <v>29</v>
      </c>
      <c r="K299" s="4">
        <v>46226</v>
      </c>
      <c r="L299" s="5" t="s">
        <v>330</v>
      </c>
      <c r="M299" s="8"/>
      <c r="N299" s="8"/>
      <c r="O299" s="5">
        <v>363650</v>
      </c>
      <c r="P299" s="9" t="s">
        <v>31</v>
      </c>
      <c r="Q299" s="9" t="s">
        <v>72</v>
      </c>
      <c r="R299" s="9" t="s">
        <v>41</v>
      </c>
      <c r="S299" s="9">
        <v>10</v>
      </c>
      <c r="T299" s="9" t="s">
        <v>34</v>
      </c>
      <c r="U299" s="5">
        <v>13110</v>
      </c>
      <c r="V299">
        <f t="shared" si="15"/>
        <v>131100</v>
      </c>
      <c r="W299" s="10">
        <v>0.18</v>
      </c>
      <c r="X299" s="11">
        <f t="shared" si="16"/>
        <v>23598</v>
      </c>
      <c r="Y299">
        <v>0</v>
      </c>
      <c r="Z299" s="11">
        <f t="shared" si="17"/>
        <v>154698</v>
      </c>
    </row>
    <row r="300" spans="1:26" ht="30">
      <c r="A300" s="4">
        <v>46226</v>
      </c>
      <c r="B300" s="5" t="s">
        <v>327</v>
      </c>
      <c r="C300" s="5" t="s">
        <v>327</v>
      </c>
      <c r="D300" s="5" t="s">
        <v>327</v>
      </c>
      <c r="E300" s="5" t="s">
        <v>328</v>
      </c>
      <c r="F300" s="6" t="s">
        <v>26</v>
      </c>
      <c r="G300" s="5" t="s">
        <v>329</v>
      </c>
      <c r="H300" s="5" t="s">
        <v>329</v>
      </c>
      <c r="I300" s="7" t="s">
        <v>28</v>
      </c>
      <c r="J300" s="8" t="s">
        <v>29</v>
      </c>
      <c r="K300" s="4">
        <v>46226</v>
      </c>
      <c r="L300" s="5" t="s">
        <v>330</v>
      </c>
      <c r="M300" s="8"/>
      <c r="N300" s="8"/>
      <c r="O300" s="5">
        <v>363650</v>
      </c>
      <c r="P300" s="9" t="s">
        <v>31</v>
      </c>
      <c r="Q300" s="9" t="s">
        <v>77</v>
      </c>
      <c r="R300" s="9" t="s">
        <v>41</v>
      </c>
      <c r="S300" s="9">
        <v>2</v>
      </c>
      <c r="T300" s="9" t="s">
        <v>34</v>
      </c>
      <c r="U300" s="5">
        <v>23100</v>
      </c>
      <c r="V300">
        <f t="shared" si="15"/>
        <v>46200</v>
      </c>
      <c r="W300" s="10">
        <v>0.18</v>
      </c>
      <c r="X300" s="11">
        <f t="shared" si="16"/>
        <v>8316</v>
      </c>
      <c r="Y300">
        <v>0</v>
      </c>
      <c r="Z300" s="11">
        <f t="shared" si="17"/>
        <v>54516</v>
      </c>
    </row>
    <row r="301" spans="1:26" ht="30">
      <c r="A301" s="4">
        <v>46226</v>
      </c>
      <c r="B301" s="5" t="s">
        <v>327</v>
      </c>
      <c r="C301" s="5" t="s">
        <v>327</v>
      </c>
      <c r="D301" s="5" t="s">
        <v>327</v>
      </c>
      <c r="E301" s="5" t="s">
        <v>328</v>
      </c>
      <c r="F301" s="6" t="s">
        <v>26</v>
      </c>
      <c r="G301" s="5" t="s">
        <v>329</v>
      </c>
      <c r="H301" s="5" t="s">
        <v>329</v>
      </c>
      <c r="I301" s="7" t="s">
        <v>28</v>
      </c>
      <c r="J301" s="8" t="s">
        <v>29</v>
      </c>
      <c r="K301" s="4">
        <v>46226</v>
      </c>
      <c r="L301" s="5" t="s">
        <v>330</v>
      </c>
      <c r="M301" s="8"/>
      <c r="N301" s="8"/>
      <c r="O301" s="5">
        <v>363650</v>
      </c>
      <c r="P301" s="9" t="s">
        <v>31</v>
      </c>
      <c r="Q301" s="9" t="s">
        <v>48</v>
      </c>
      <c r="R301" s="9" t="s">
        <v>41</v>
      </c>
      <c r="S301" s="9">
        <v>13</v>
      </c>
      <c r="T301" s="9" t="s">
        <v>34</v>
      </c>
      <c r="U301" s="5">
        <v>2760</v>
      </c>
      <c r="V301">
        <f t="shared" si="15"/>
        <v>35880</v>
      </c>
      <c r="W301" s="10">
        <v>0.18</v>
      </c>
      <c r="X301" s="11">
        <f t="shared" si="16"/>
        <v>6458.4</v>
      </c>
      <c r="Y301">
        <v>0</v>
      </c>
      <c r="Z301" s="11">
        <f t="shared" si="17"/>
        <v>42338.400000000001</v>
      </c>
    </row>
    <row r="302" spans="1:26" ht="45">
      <c r="A302" s="4">
        <v>46228</v>
      </c>
      <c r="B302" s="5" t="s">
        <v>331</v>
      </c>
      <c r="C302" s="5" t="s">
        <v>331</v>
      </c>
      <c r="D302" s="5" t="s">
        <v>331</v>
      </c>
      <c r="E302" s="5"/>
      <c r="F302" s="6" t="s">
        <v>26</v>
      </c>
      <c r="G302" s="5"/>
      <c r="H302" s="5"/>
      <c r="I302" s="7" t="s">
        <v>28</v>
      </c>
      <c r="J302" s="8" t="s">
        <v>29</v>
      </c>
      <c r="K302" s="4">
        <v>46228</v>
      </c>
      <c r="L302" s="5" t="s">
        <v>332</v>
      </c>
      <c r="M302" s="8"/>
      <c r="N302" s="8"/>
      <c r="O302" s="5"/>
      <c r="P302" s="9" t="s">
        <v>31</v>
      </c>
      <c r="Q302" s="9" t="s">
        <v>32</v>
      </c>
      <c r="R302" s="9" t="s">
        <v>47</v>
      </c>
      <c r="S302" s="9">
        <v>4</v>
      </c>
      <c r="T302" s="9" t="s">
        <v>34</v>
      </c>
      <c r="U302" s="5">
        <v>9396</v>
      </c>
      <c r="V302">
        <f t="shared" ref="V302:V316" si="18">U302*S302</f>
        <v>37584</v>
      </c>
      <c r="W302" s="10">
        <v>0.18</v>
      </c>
      <c r="X302" s="11">
        <f t="shared" ref="X302:X316" si="19">V302*W302</f>
        <v>6765.12</v>
      </c>
      <c r="Y302">
        <v>0</v>
      </c>
      <c r="Z302" s="11">
        <f t="shared" ref="Z302:Z316" si="20">V302+X302</f>
        <v>44349.120000000003</v>
      </c>
    </row>
    <row r="303" spans="1:26" ht="60">
      <c r="A303" s="4">
        <v>46228</v>
      </c>
      <c r="B303" s="5" t="s">
        <v>24</v>
      </c>
      <c r="C303" s="5" t="s">
        <v>24</v>
      </c>
      <c r="D303" s="5" t="s">
        <v>24</v>
      </c>
      <c r="E303" s="5" t="s">
        <v>25</v>
      </c>
      <c r="F303" s="6" t="s">
        <v>26</v>
      </c>
      <c r="G303" s="5" t="s">
        <v>27</v>
      </c>
      <c r="H303" s="5" t="s">
        <v>27</v>
      </c>
      <c r="I303" s="7" t="s">
        <v>28</v>
      </c>
      <c r="J303" s="8" t="s">
        <v>29</v>
      </c>
      <c r="K303" s="4">
        <v>46228</v>
      </c>
      <c r="L303" s="5" t="s">
        <v>30</v>
      </c>
      <c r="M303" s="8"/>
      <c r="N303" s="8"/>
      <c r="O303" s="5">
        <v>361005</v>
      </c>
      <c r="P303" s="9" t="s">
        <v>31</v>
      </c>
      <c r="Q303" s="9" t="s">
        <v>276</v>
      </c>
      <c r="R303" s="9" t="s">
        <v>33</v>
      </c>
      <c r="S303" s="9">
        <v>10</v>
      </c>
      <c r="T303" s="9" t="s">
        <v>34</v>
      </c>
      <c r="U303" s="5">
        <v>6180</v>
      </c>
      <c r="V303">
        <f t="shared" si="18"/>
        <v>61800</v>
      </c>
      <c r="W303" s="10">
        <v>0.18</v>
      </c>
      <c r="X303" s="11">
        <f t="shared" si="19"/>
        <v>11124</v>
      </c>
      <c r="Y303">
        <v>0</v>
      </c>
      <c r="Z303" s="11">
        <f t="shared" si="20"/>
        <v>72924</v>
      </c>
    </row>
    <row r="304" spans="1:26" ht="75">
      <c r="A304" s="12" t="s">
        <v>333</v>
      </c>
      <c r="B304" s="5" t="s">
        <v>79</v>
      </c>
      <c r="C304" s="5" t="s">
        <v>79</v>
      </c>
      <c r="D304" s="5" t="s">
        <v>79</v>
      </c>
      <c r="E304" s="5" t="s">
        <v>80</v>
      </c>
      <c r="F304" s="6" t="s">
        <v>26</v>
      </c>
      <c r="G304" s="5" t="s">
        <v>81</v>
      </c>
      <c r="H304" s="5" t="s">
        <v>81</v>
      </c>
      <c r="I304" s="7" t="s">
        <v>28</v>
      </c>
      <c r="J304" s="8" t="s">
        <v>29</v>
      </c>
      <c r="K304" s="12" t="s">
        <v>333</v>
      </c>
      <c r="L304" s="5" t="s">
        <v>82</v>
      </c>
      <c r="M304" s="8"/>
      <c r="N304" s="8"/>
      <c r="O304" s="5">
        <v>371004</v>
      </c>
      <c r="P304" s="12" t="s">
        <v>31</v>
      </c>
      <c r="Q304" s="12" t="s">
        <v>72</v>
      </c>
      <c r="R304" s="12" t="s">
        <v>33</v>
      </c>
      <c r="S304" s="12">
        <v>6</v>
      </c>
      <c r="T304" s="12" t="s">
        <v>34</v>
      </c>
      <c r="U304" s="5">
        <v>15300</v>
      </c>
      <c r="V304">
        <f t="shared" si="18"/>
        <v>91800</v>
      </c>
      <c r="W304" s="10">
        <v>0.18</v>
      </c>
      <c r="X304" s="11">
        <f t="shared" si="19"/>
        <v>16524</v>
      </c>
      <c r="Y304">
        <v>0</v>
      </c>
      <c r="Z304" s="11">
        <f t="shared" si="20"/>
        <v>108324</v>
      </c>
    </row>
    <row r="305" spans="1:26" ht="75">
      <c r="A305" s="12" t="s">
        <v>333</v>
      </c>
      <c r="B305" s="5" t="s">
        <v>79</v>
      </c>
      <c r="C305" s="5" t="s">
        <v>79</v>
      </c>
      <c r="D305" s="5" t="s">
        <v>79</v>
      </c>
      <c r="E305" s="5" t="s">
        <v>80</v>
      </c>
      <c r="F305" s="6" t="s">
        <v>26</v>
      </c>
      <c r="G305" s="5" t="s">
        <v>81</v>
      </c>
      <c r="H305" s="5" t="s">
        <v>81</v>
      </c>
      <c r="I305" s="7" t="s">
        <v>28</v>
      </c>
      <c r="J305" s="8" t="s">
        <v>29</v>
      </c>
      <c r="K305" s="12" t="s">
        <v>333</v>
      </c>
      <c r="L305" s="5" t="s">
        <v>82</v>
      </c>
      <c r="M305" s="8"/>
      <c r="N305" s="8"/>
      <c r="O305" s="5">
        <v>371004</v>
      </c>
      <c r="P305" s="12" t="s">
        <v>31</v>
      </c>
      <c r="Q305" s="12" t="s">
        <v>32</v>
      </c>
      <c r="R305" s="12" t="s">
        <v>50</v>
      </c>
      <c r="S305" s="12">
        <v>2</v>
      </c>
      <c r="T305" s="12" t="s">
        <v>34</v>
      </c>
      <c r="U305" s="5">
        <v>7500</v>
      </c>
      <c r="V305">
        <f t="shared" si="18"/>
        <v>15000</v>
      </c>
      <c r="W305" s="10">
        <v>0.18</v>
      </c>
      <c r="X305" s="11">
        <f t="shared" si="19"/>
        <v>2700</v>
      </c>
      <c r="Y305">
        <v>0</v>
      </c>
      <c r="Z305" s="11">
        <f t="shared" si="20"/>
        <v>17700</v>
      </c>
    </row>
    <row r="306" spans="1:26" ht="75">
      <c r="A306" s="12" t="s">
        <v>333</v>
      </c>
      <c r="B306" s="5" t="s">
        <v>334</v>
      </c>
      <c r="C306" s="5" t="s">
        <v>334</v>
      </c>
      <c r="D306" s="5" t="s">
        <v>334</v>
      </c>
      <c r="E306" s="5" t="s">
        <v>335</v>
      </c>
      <c r="F306" s="6" t="s">
        <v>26</v>
      </c>
      <c r="G306" s="5" t="s">
        <v>336</v>
      </c>
      <c r="H306" s="5" t="s">
        <v>336</v>
      </c>
      <c r="I306" s="7" t="s">
        <v>28</v>
      </c>
      <c r="J306" s="8" t="s">
        <v>29</v>
      </c>
      <c r="K306" s="12" t="s">
        <v>333</v>
      </c>
      <c r="L306" s="5" t="s">
        <v>337</v>
      </c>
      <c r="M306" s="8"/>
      <c r="N306" s="8"/>
      <c r="O306" s="5">
        <v>380060</v>
      </c>
      <c r="P306" s="12" t="s">
        <v>31</v>
      </c>
      <c r="Q306" s="12" t="s">
        <v>338</v>
      </c>
      <c r="R306" s="12" t="s">
        <v>41</v>
      </c>
      <c r="S306" s="12">
        <v>1</v>
      </c>
      <c r="T306" s="12" t="s">
        <v>217</v>
      </c>
      <c r="U306" s="5">
        <v>1863</v>
      </c>
      <c r="V306">
        <f t="shared" si="18"/>
        <v>1863</v>
      </c>
      <c r="W306" s="10">
        <v>0.18</v>
      </c>
      <c r="X306" s="11">
        <f t="shared" si="19"/>
        <v>335.34</v>
      </c>
      <c r="Y306">
        <v>0</v>
      </c>
      <c r="Z306" s="11">
        <f t="shared" si="20"/>
        <v>2198.34</v>
      </c>
    </row>
    <row r="307" spans="1:26" ht="60">
      <c r="A307" s="12" t="s">
        <v>333</v>
      </c>
      <c r="B307" s="5" t="s">
        <v>35</v>
      </c>
      <c r="C307" s="5" t="s">
        <v>35</v>
      </c>
      <c r="D307" s="5" t="s">
        <v>123</v>
      </c>
      <c r="E307" s="5" t="s">
        <v>124</v>
      </c>
      <c r="F307" s="6" t="s">
        <v>26</v>
      </c>
      <c r="G307" s="5" t="s">
        <v>125</v>
      </c>
      <c r="H307" s="5" t="s">
        <v>125</v>
      </c>
      <c r="I307" s="7" t="s">
        <v>28</v>
      </c>
      <c r="J307" s="8" t="s">
        <v>29</v>
      </c>
      <c r="K307" s="12" t="s">
        <v>333</v>
      </c>
      <c r="L307" s="5" t="s">
        <v>126</v>
      </c>
      <c r="M307" s="8"/>
      <c r="N307" s="8"/>
      <c r="O307" s="5">
        <v>380060</v>
      </c>
      <c r="P307" s="13" t="s">
        <v>31</v>
      </c>
      <c r="Q307" s="12" t="s">
        <v>121</v>
      </c>
      <c r="R307" s="12" t="s">
        <v>33</v>
      </c>
      <c r="S307" s="12">
        <v>5</v>
      </c>
      <c r="T307" s="12" t="s">
        <v>34</v>
      </c>
      <c r="U307" s="5">
        <v>15000</v>
      </c>
      <c r="V307">
        <f t="shared" si="18"/>
        <v>75000</v>
      </c>
      <c r="W307" s="10">
        <v>0.18</v>
      </c>
      <c r="X307" s="11">
        <f t="shared" si="19"/>
        <v>13500</v>
      </c>
      <c r="Y307">
        <v>0</v>
      </c>
      <c r="Z307" s="11">
        <f t="shared" si="20"/>
        <v>88500</v>
      </c>
    </row>
    <row r="308" spans="1:26" ht="60">
      <c r="A308" s="12" t="s">
        <v>333</v>
      </c>
      <c r="B308" s="5" t="s">
        <v>35</v>
      </c>
      <c r="C308" s="5" t="s">
        <v>35</v>
      </c>
      <c r="D308" s="5" t="s">
        <v>123</v>
      </c>
      <c r="E308" s="5" t="s">
        <v>124</v>
      </c>
      <c r="F308" s="6" t="s">
        <v>26</v>
      </c>
      <c r="G308" s="5" t="s">
        <v>125</v>
      </c>
      <c r="H308" s="5" t="s">
        <v>125</v>
      </c>
      <c r="I308" s="7" t="s">
        <v>28</v>
      </c>
      <c r="J308" s="8" t="s">
        <v>29</v>
      </c>
      <c r="K308" s="12" t="s">
        <v>333</v>
      </c>
      <c r="L308" s="5" t="s">
        <v>126</v>
      </c>
      <c r="M308" s="8"/>
      <c r="N308" s="8"/>
      <c r="O308" s="5">
        <v>380060</v>
      </c>
      <c r="P308" s="12" t="s">
        <v>31</v>
      </c>
      <c r="Q308" s="12" t="s">
        <v>46</v>
      </c>
      <c r="R308" s="12" t="s">
        <v>41</v>
      </c>
      <c r="S308" s="12">
        <v>3</v>
      </c>
      <c r="T308" s="12" t="s">
        <v>34</v>
      </c>
      <c r="U308" s="5">
        <v>28500</v>
      </c>
      <c r="V308">
        <f t="shared" si="18"/>
        <v>85500</v>
      </c>
      <c r="W308" s="10">
        <v>0.18</v>
      </c>
      <c r="X308" s="11">
        <f t="shared" si="19"/>
        <v>15390</v>
      </c>
      <c r="Y308">
        <v>0</v>
      </c>
      <c r="Z308" s="11">
        <f t="shared" si="20"/>
        <v>100890</v>
      </c>
    </row>
    <row r="309" spans="1:26" ht="60">
      <c r="A309" s="12" t="s">
        <v>339</v>
      </c>
      <c r="B309" s="5" t="s">
        <v>35</v>
      </c>
      <c r="C309" s="5" t="s">
        <v>35</v>
      </c>
      <c r="D309" s="5" t="s">
        <v>123</v>
      </c>
      <c r="E309" s="5" t="s">
        <v>124</v>
      </c>
      <c r="F309" s="6" t="s">
        <v>26</v>
      </c>
      <c r="G309" s="5" t="s">
        <v>125</v>
      </c>
      <c r="H309" s="5" t="s">
        <v>125</v>
      </c>
      <c r="I309" s="7" t="s">
        <v>28</v>
      </c>
      <c r="J309" s="8" t="s">
        <v>29</v>
      </c>
      <c r="K309" s="12" t="s">
        <v>339</v>
      </c>
      <c r="L309" s="5" t="s">
        <v>126</v>
      </c>
      <c r="M309" s="8"/>
      <c r="N309" s="8"/>
      <c r="O309" s="5">
        <v>380060</v>
      </c>
      <c r="P309" s="12" t="s">
        <v>31</v>
      </c>
      <c r="Q309" s="12" t="s">
        <v>340</v>
      </c>
      <c r="R309" s="12" t="s">
        <v>41</v>
      </c>
      <c r="S309" s="12">
        <v>2</v>
      </c>
      <c r="T309" s="12" t="s">
        <v>34</v>
      </c>
      <c r="U309" s="5">
        <v>790</v>
      </c>
      <c r="V309">
        <f t="shared" si="18"/>
        <v>1580</v>
      </c>
      <c r="W309" s="10">
        <v>0.18</v>
      </c>
      <c r="X309" s="11">
        <f t="shared" si="19"/>
        <v>284.39999999999998</v>
      </c>
      <c r="Y309">
        <v>0</v>
      </c>
      <c r="Z309" s="11">
        <f t="shared" si="20"/>
        <v>1864.4</v>
      </c>
    </row>
    <row r="310" spans="1:26" ht="60">
      <c r="A310" s="12" t="s">
        <v>339</v>
      </c>
      <c r="B310" s="5" t="s">
        <v>35</v>
      </c>
      <c r="C310" s="5" t="s">
        <v>35</v>
      </c>
      <c r="D310" s="5" t="s">
        <v>123</v>
      </c>
      <c r="E310" s="5" t="s">
        <v>124</v>
      </c>
      <c r="F310" s="6" t="s">
        <v>26</v>
      </c>
      <c r="G310" s="5" t="s">
        <v>125</v>
      </c>
      <c r="H310" s="5" t="s">
        <v>125</v>
      </c>
      <c r="I310" s="7" t="s">
        <v>28</v>
      </c>
      <c r="J310" s="8" t="s">
        <v>29</v>
      </c>
      <c r="K310" s="12" t="s">
        <v>339</v>
      </c>
      <c r="L310" s="5" t="s">
        <v>126</v>
      </c>
      <c r="M310" s="8"/>
      <c r="N310" s="8"/>
      <c r="O310" s="5">
        <v>380060</v>
      </c>
      <c r="P310" s="12" t="s">
        <v>31</v>
      </c>
      <c r="Q310" s="12" t="s">
        <v>133</v>
      </c>
      <c r="R310" s="12" t="s">
        <v>41</v>
      </c>
      <c r="S310" s="12">
        <v>1</v>
      </c>
      <c r="T310" s="12" t="s">
        <v>34</v>
      </c>
      <c r="U310" s="5">
        <v>2895</v>
      </c>
      <c r="V310">
        <f t="shared" si="18"/>
        <v>2895</v>
      </c>
      <c r="W310" s="10">
        <v>0.18</v>
      </c>
      <c r="X310" s="11">
        <f t="shared" si="19"/>
        <v>521.1</v>
      </c>
      <c r="Y310">
        <v>0</v>
      </c>
      <c r="Z310" s="11">
        <f t="shared" si="20"/>
        <v>3416.1</v>
      </c>
    </row>
    <row r="311" spans="1:26" ht="45">
      <c r="A311" s="4">
        <v>46234</v>
      </c>
      <c r="B311" s="5" t="s">
        <v>341</v>
      </c>
      <c r="C311" s="5" t="s">
        <v>341</v>
      </c>
      <c r="D311" s="5" t="s">
        <v>341</v>
      </c>
      <c r="E311" s="5" t="s">
        <v>342</v>
      </c>
      <c r="F311" s="6" t="s">
        <v>26</v>
      </c>
      <c r="G311" s="5" t="s">
        <v>343</v>
      </c>
      <c r="H311" s="5" t="s">
        <v>343</v>
      </c>
      <c r="I311" s="7" t="s">
        <v>28</v>
      </c>
      <c r="J311" s="8" t="s">
        <v>29</v>
      </c>
      <c r="K311" s="4">
        <v>46234</v>
      </c>
      <c r="L311" s="5" t="s">
        <v>344</v>
      </c>
      <c r="M311" s="8"/>
      <c r="N311" s="8"/>
      <c r="O311" s="5">
        <v>361006</v>
      </c>
      <c r="P311" s="12" t="s">
        <v>31</v>
      </c>
      <c r="Q311" s="9" t="s">
        <v>32</v>
      </c>
      <c r="R311" s="9" t="s">
        <v>50</v>
      </c>
      <c r="S311" s="9">
        <v>10</v>
      </c>
      <c r="T311" s="9" t="s">
        <v>34</v>
      </c>
      <c r="U311" s="5">
        <v>6500</v>
      </c>
      <c r="V311">
        <f t="shared" si="18"/>
        <v>65000</v>
      </c>
      <c r="W311" s="10">
        <v>0.18</v>
      </c>
      <c r="X311" s="11">
        <f t="shared" si="19"/>
        <v>11700</v>
      </c>
      <c r="Y311">
        <v>0</v>
      </c>
      <c r="Z311" s="11">
        <f t="shared" si="20"/>
        <v>76700</v>
      </c>
    </row>
    <row r="312" spans="1:26" ht="45">
      <c r="A312" s="4">
        <v>46235</v>
      </c>
      <c r="B312" s="5" t="s">
        <v>345</v>
      </c>
      <c r="C312" s="5" t="s">
        <v>345</v>
      </c>
      <c r="D312" s="5" t="s">
        <v>345</v>
      </c>
      <c r="E312" s="5"/>
      <c r="F312" s="6" t="s">
        <v>26</v>
      </c>
      <c r="G312" s="5" t="s">
        <v>346</v>
      </c>
      <c r="H312" s="5" t="s">
        <v>346</v>
      </c>
      <c r="I312" s="7" t="s">
        <v>28</v>
      </c>
      <c r="J312" s="8" t="s">
        <v>29</v>
      </c>
      <c r="K312" s="4">
        <v>46235</v>
      </c>
      <c r="L312" s="5" t="s">
        <v>347</v>
      </c>
      <c r="M312" s="8"/>
      <c r="N312" s="8"/>
      <c r="O312" s="5">
        <v>382220</v>
      </c>
      <c r="P312" s="12" t="s">
        <v>58</v>
      </c>
      <c r="Q312" s="9" t="s">
        <v>72</v>
      </c>
      <c r="R312" s="9" t="s">
        <v>41</v>
      </c>
      <c r="S312" s="9">
        <v>4</v>
      </c>
      <c r="T312" s="9" t="s">
        <v>326</v>
      </c>
      <c r="U312" s="5">
        <v>15080</v>
      </c>
      <c r="V312">
        <f t="shared" si="18"/>
        <v>60320</v>
      </c>
      <c r="W312" s="10">
        <v>0.18</v>
      </c>
      <c r="X312" s="11">
        <f t="shared" si="19"/>
        <v>10857.6</v>
      </c>
      <c r="Y312">
        <v>0</v>
      </c>
      <c r="Z312" s="11">
        <f t="shared" si="20"/>
        <v>71177.600000000006</v>
      </c>
    </row>
    <row r="313" spans="1:26" ht="90">
      <c r="A313" s="9" t="s">
        <v>348</v>
      </c>
      <c r="B313" s="5" t="s">
        <v>225</v>
      </c>
      <c r="C313" s="5" t="s">
        <v>225</v>
      </c>
      <c r="D313" s="5" t="s">
        <v>225</v>
      </c>
      <c r="E313" s="5" t="s">
        <v>226</v>
      </c>
      <c r="F313" s="6" t="s">
        <v>26</v>
      </c>
      <c r="G313" s="5" t="s">
        <v>227</v>
      </c>
      <c r="H313" s="5" t="s">
        <v>227</v>
      </c>
      <c r="I313" s="7" t="s">
        <v>28</v>
      </c>
      <c r="J313" s="8" t="s">
        <v>29</v>
      </c>
      <c r="K313" s="9" t="s">
        <v>348</v>
      </c>
      <c r="L313" s="5" t="s">
        <v>228</v>
      </c>
      <c r="M313" s="8"/>
      <c r="N313" s="8"/>
      <c r="O313" s="5">
        <v>380015</v>
      </c>
      <c r="P313" s="12" t="s">
        <v>58</v>
      </c>
      <c r="Q313" s="9" t="s">
        <v>276</v>
      </c>
      <c r="R313" s="9" t="s">
        <v>41</v>
      </c>
      <c r="S313" s="9">
        <v>1</v>
      </c>
      <c r="T313" s="9" t="s">
        <v>349</v>
      </c>
      <c r="U313" s="5">
        <v>10450</v>
      </c>
      <c r="V313">
        <f t="shared" si="18"/>
        <v>10450</v>
      </c>
      <c r="W313" s="10">
        <v>0.18</v>
      </c>
      <c r="X313" s="11">
        <f t="shared" si="19"/>
        <v>1881</v>
      </c>
      <c r="Y313">
        <v>0</v>
      </c>
      <c r="Z313" s="11">
        <f t="shared" si="20"/>
        <v>12331</v>
      </c>
    </row>
    <row r="314" spans="1:26" ht="90">
      <c r="A314" s="9" t="s">
        <v>348</v>
      </c>
      <c r="B314" s="5" t="s">
        <v>225</v>
      </c>
      <c r="C314" s="5" t="s">
        <v>225</v>
      </c>
      <c r="D314" s="5" t="s">
        <v>225</v>
      </c>
      <c r="E314" s="5" t="s">
        <v>226</v>
      </c>
      <c r="F314" s="6" t="s">
        <v>26</v>
      </c>
      <c r="G314" s="5" t="s">
        <v>227</v>
      </c>
      <c r="H314" s="5" t="s">
        <v>227</v>
      </c>
      <c r="I314" s="7" t="s">
        <v>28</v>
      </c>
      <c r="J314" s="8" t="s">
        <v>29</v>
      </c>
      <c r="K314" s="9" t="s">
        <v>348</v>
      </c>
      <c r="L314" s="5" t="s">
        <v>228</v>
      </c>
      <c r="M314" s="8"/>
      <c r="N314" s="8"/>
      <c r="O314" s="5">
        <v>380015</v>
      </c>
      <c r="P314" s="12" t="s">
        <v>58</v>
      </c>
      <c r="Q314" s="9" t="s">
        <v>276</v>
      </c>
      <c r="R314" s="9" t="s">
        <v>350</v>
      </c>
      <c r="S314" s="9">
        <v>1</v>
      </c>
      <c r="T314" s="9" t="s">
        <v>349</v>
      </c>
      <c r="U314" s="5">
        <v>9800</v>
      </c>
      <c r="V314">
        <f t="shared" si="18"/>
        <v>9800</v>
      </c>
      <c r="W314" s="10">
        <v>0.18</v>
      </c>
      <c r="X314" s="11">
        <f t="shared" si="19"/>
        <v>1764</v>
      </c>
      <c r="Y314">
        <v>0</v>
      </c>
      <c r="Z314" s="11">
        <f t="shared" si="20"/>
        <v>11564</v>
      </c>
    </row>
    <row r="315" spans="1:26" ht="60">
      <c r="A315" s="4">
        <v>46120</v>
      </c>
      <c r="B315" s="5" t="s">
        <v>351</v>
      </c>
      <c r="C315" s="5" t="s">
        <v>351</v>
      </c>
      <c r="D315" s="5" t="s">
        <v>351</v>
      </c>
      <c r="E315" s="5" t="s">
        <v>352</v>
      </c>
      <c r="F315" s="6" t="s">
        <v>26</v>
      </c>
      <c r="G315" s="5" t="s">
        <v>353</v>
      </c>
      <c r="H315" s="5" t="s">
        <v>353</v>
      </c>
      <c r="I315" s="7" t="s">
        <v>28</v>
      </c>
      <c r="J315" s="8" t="s">
        <v>29</v>
      </c>
      <c r="K315" s="4">
        <v>46120</v>
      </c>
      <c r="L315" s="5" t="s">
        <v>354</v>
      </c>
      <c r="M315" s="8"/>
      <c r="N315" s="8"/>
      <c r="O315" s="5">
        <v>382350</v>
      </c>
      <c r="P315" s="12" t="s">
        <v>31</v>
      </c>
      <c r="Q315" s="9" t="s">
        <v>161</v>
      </c>
      <c r="R315" s="9" t="s">
        <v>350</v>
      </c>
      <c r="S315" s="9">
        <v>175</v>
      </c>
      <c r="T315" s="9" t="s">
        <v>34</v>
      </c>
      <c r="U315" s="5">
        <v>518</v>
      </c>
      <c r="V315">
        <f t="shared" si="18"/>
        <v>90650</v>
      </c>
      <c r="W315" s="10">
        <v>0.18</v>
      </c>
      <c r="X315" s="11">
        <f t="shared" si="19"/>
        <v>16317</v>
      </c>
      <c r="Y315">
        <v>0</v>
      </c>
      <c r="Z315" s="11">
        <f t="shared" si="20"/>
        <v>106967</v>
      </c>
    </row>
    <row r="316" spans="1:26" ht="90">
      <c r="A316" s="4">
        <v>46239</v>
      </c>
      <c r="B316" s="5" t="s">
        <v>225</v>
      </c>
      <c r="C316" s="5" t="s">
        <v>225</v>
      </c>
      <c r="D316" s="5" t="s">
        <v>225</v>
      </c>
      <c r="E316" s="5" t="s">
        <v>226</v>
      </c>
      <c r="F316" s="6" t="s">
        <v>26</v>
      </c>
      <c r="G316" s="5" t="s">
        <v>227</v>
      </c>
      <c r="H316" s="5" t="s">
        <v>227</v>
      </c>
      <c r="I316" s="7" t="s">
        <v>28</v>
      </c>
      <c r="J316" s="8" t="s">
        <v>29</v>
      </c>
      <c r="K316" s="4">
        <v>46239</v>
      </c>
      <c r="L316" s="5" t="s">
        <v>228</v>
      </c>
      <c r="M316" s="8"/>
      <c r="N316" s="8"/>
      <c r="O316" s="5">
        <v>380015</v>
      </c>
      <c r="P316" s="12" t="s">
        <v>58</v>
      </c>
      <c r="Q316" s="9" t="s">
        <v>276</v>
      </c>
      <c r="R316" s="9" t="s">
        <v>41</v>
      </c>
      <c r="S316" s="9">
        <v>3</v>
      </c>
      <c r="T316" s="9" t="s">
        <v>349</v>
      </c>
      <c r="U316" s="5">
        <v>10450</v>
      </c>
      <c r="V316">
        <f t="shared" si="18"/>
        <v>31350</v>
      </c>
      <c r="W316" s="10">
        <v>0.18</v>
      </c>
      <c r="X316" s="11">
        <f t="shared" si="19"/>
        <v>5643</v>
      </c>
      <c r="Y316">
        <v>0</v>
      </c>
      <c r="Z316" s="11">
        <f t="shared" si="20"/>
        <v>36993</v>
      </c>
    </row>
    <row r="317" spans="1:26">
      <c r="A317" s="14">
        <v>46242</v>
      </c>
      <c r="B317" s="15" t="s">
        <v>355</v>
      </c>
      <c r="C317" s="15" t="s">
        <v>355</v>
      </c>
      <c r="J317" s="8" t="s">
        <v>29</v>
      </c>
      <c r="K317" s="14">
        <v>46242</v>
      </c>
      <c r="P317" s="16" t="s">
        <v>58</v>
      </c>
      <c r="Q317" s="17" t="s">
        <v>276</v>
      </c>
      <c r="R317" s="18" t="s">
        <v>41</v>
      </c>
      <c r="S317" s="19">
        <v>3</v>
      </c>
      <c r="T317" s="20" t="s">
        <v>349</v>
      </c>
    </row>
    <row r="318" spans="1:26">
      <c r="A318" s="21">
        <v>46242</v>
      </c>
      <c r="B318" s="22" t="s">
        <v>356</v>
      </c>
      <c r="C318" s="22" t="s">
        <v>356</v>
      </c>
      <c r="J318" s="8" t="s">
        <v>29</v>
      </c>
      <c r="K318" s="21">
        <v>46242</v>
      </c>
      <c r="P318" s="23" t="s">
        <v>58</v>
      </c>
      <c r="Q318" s="24" t="s">
        <v>32</v>
      </c>
      <c r="R318" s="25" t="s">
        <v>50</v>
      </c>
      <c r="S318" s="26">
        <v>25</v>
      </c>
      <c r="T318" s="27" t="s">
        <v>349</v>
      </c>
    </row>
    <row r="319" spans="1:26">
      <c r="A319" s="28">
        <v>46242</v>
      </c>
      <c r="B319" s="26" t="s">
        <v>357</v>
      </c>
      <c r="C319" s="26" t="s">
        <v>357</v>
      </c>
      <c r="J319" s="8" t="s">
        <v>29</v>
      </c>
      <c r="K319" s="28">
        <v>46242</v>
      </c>
      <c r="P319" s="29" t="s">
        <v>58</v>
      </c>
      <c r="Q319" s="30" t="s">
        <v>72</v>
      </c>
      <c r="R319" s="31" t="s">
        <v>50</v>
      </c>
      <c r="S319" s="22">
        <v>1</v>
      </c>
      <c r="T319" s="32" t="s">
        <v>67</v>
      </c>
    </row>
    <row r="320" spans="1:26" ht="29.25">
      <c r="A320" s="21">
        <v>46242</v>
      </c>
      <c r="B320" s="22" t="s">
        <v>358</v>
      </c>
      <c r="C320" s="22" t="s">
        <v>358</v>
      </c>
      <c r="J320" s="8" t="s">
        <v>29</v>
      </c>
      <c r="K320" s="21">
        <v>46242</v>
      </c>
      <c r="P320" s="33" t="s">
        <v>31</v>
      </c>
      <c r="Q320" s="24" t="s">
        <v>359</v>
      </c>
      <c r="R320" s="34" t="s">
        <v>90</v>
      </c>
      <c r="S320" s="26">
        <v>2</v>
      </c>
      <c r="T320" s="27" t="s">
        <v>34</v>
      </c>
    </row>
    <row r="321" spans="1:20" ht="29.25">
      <c r="A321" s="28">
        <v>46242</v>
      </c>
      <c r="B321" s="26" t="s">
        <v>358</v>
      </c>
      <c r="C321" s="26" t="s">
        <v>358</v>
      </c>
      <c r="J321" s="8" t="s">
        <v>29</v>
      </c>
      <c r="K321" s="28">
        <v>46242</v>
      </c>
      <c r="P321" s="35" t="s">
        <v>31</v>
      </c>
      <c r="Q321" s="30" t="s">
        <v>77</v>
      </c>
      <c r="R321" s="36" t="s">
        <v>41</v>
      </c>
      <c r="S321" s="22">
        <v>2</v>
      </c>
      <c r="T321" s="32" t="s">
        <v>34</v>
      </c>
    </row>
    <row r="322" spans="1:20" ht="29.25">
      <c r="A322" s="21">
        <v>46242</v>
      </c>
      <c r="B322" s="22" t="s">
        <v>358</v>
      </c>
      <c r="C322" s="22" t="s">
        <v>358</v>
      </c>
      <c r="J322" s="8" t="s">
        <v>29</v>
      </c>
      <c r="K322" s="21">
        <v>46242</v>
      </c>
      <c r="P322" s="33" t="s">
        <v>31</v>
      </c>
      <c r="Q322" s="24" t="s">
        <v>46</v>
      </c>
      <c r="R322" s="37" t="s">
        <v>41</v>
      </c>
      <c r="S322" s="26">
        <v>1</v>
      </c>
      <c r="T322" s="27" t="s">
        <v>34</v>
      </c>
    </row>
    <row r="323" spans="1:20" ht="29.25">
      <c r="A323" s="28">
        <v>46242</v>
      </c>
      <c r="B323" s="26" t="s">
        <v>358</v>
      </c>
      <c r="C323" s="26" t="s">
        <v>358</v>
      </c>
      <c r="J323" s="8" t="s">
        <v>29</v>
      </c>
      <c r="K323" s="28">
        <v>46242</v>
      </c>
      <c r="P323" s="35" t="s">
        <v>31</v>
      </c>
      <c r="Q323" s="30" t="s">
        <v>229</v>
      </c>
      <c r="R323" s="38" t="s">
        <v>47</v>
      </c>
      <c r="S323" s="22">
        <v>1</v>
      </c>
      <c r="T323" s="32" t="s">
        <v>34</v>
      </c>
    </row>
    <row r="324" spans="1:20" ht="29.25">
      <c r="A324" s="21">
        <v>46242</v>
      </c>
      <c r="B324" s="22" t="s">
        <v>358</v>
      </c>
      <c r="C324" s="22" t="s">
        <v>358</v>
      </c>
      <c r="J324" s="8" t="s">
        <v>29</v>
      </c>
      <c r="K324" s="21">
        <v>46242</v>
      </c>
      <c r="P324" s="33" t="s">
        <v>31</v>
      </c>
      <c r="Q324" s="24" t="s">
        <v>360</v>
      </c>
      <c r="R324" s="39" t="s">
        <v>47</v>
      </c>
      <c r="S324" s="26">
        <v>1</v>
      </c>
      <c r="T324" s="27" t="s">
        <v>34</v>
      </c>
    </row>
    <row r="325" spans="1:20" ht="29.25">
      <c r="A325" s="28">
        <v>46242</v>
      </c>
      <c r="B325" s="26" t="s">
        <v>361</v>
      </c>
      <c r="C325" s="26" t="s">
        <v>361</v>
      </c>
      <c r="J325" s="8" t="s">
        <v>29</v>
      </c>
      <c r="K325" s="28">
        <v>46242</v>
      </c>
      <c r="P325" s="40" t="s">
        <v>143</v>
      </c>
      <c r="Q325" s="30" t="s">
        <v>49</v>
      </c>
      <c r="R325" s="38" t="s">
        <v>47</v>
      </c>
      <c r="S325" s="22">
        <v>7</v>
      </c>
      <c r="T325" s="32" t="s">
        <v>34</v>
      </c>
    </row>
    <row r="326" spans="1:20">
      <c r="A326" s="21">
        <v>46244</v>
      </c>
      <c r="B326" s="22" t="s">
        <v>225</v>
      </c>
      <c r="C326" s="22" t="s">
        <v>225</v>
      </c>
      <c r="J326" s="8" t="s">
        <v>29</v>
      </c>
      <c r="K326" s="21">
        <v>46244</v>
      </c>
      <c r="P326" s="23" t="s">
        <v>58</v>
      </c>
      <c r="Q326" s="24" t="s">
        <v>52</v>
      </c>
      <c r="R326" s="37" t="s">
        <v>41</v>
      </c>
      <c r="S326" s="26">
        <v>1</v>
      </c>
      <c r="T326" s="27" t="s">
        <v>67</v>
      </c>
    </row>
    <row r="327" spans="1:20">
      <c r="A327" s="28">
        <v>46244</v>
      </c>
      <c r="B327" s="26" t="s">
        <v>225</v>
      </c>
      <c r="C327" s="26" t="s">
        <v>225</v>
      </c>
      <c r="J327" s="8" t="s">
        <v>29</v>
      </c>
      <c r="K327" s="28">
        <v>46244</v>
      </c>
      <c r="P327" s="29" t="s">
        <v>58</v>
      </c>
      <c r="Q327" s="30" t="s">
        <v>276</v>
      </c>
      <c r="R327" s="36" t="s">
        <v>41</v>
      </c>
      <c r="S327" s="41">
        <v>1</v>
      </c>
      <c r="T327" s="32" t="s">
        <v>349</v>
      </c>
    </row>
    <row r="328" spans="1:20">
      <c r="A328" s="21">
        <v>46244</v>
      </c>
      <c r="B328" s="22" t="s">
        <v>225</v>
      </c>
      <c r="C328" s="22" t="s">
        <v>225</v>
      </c>
      <c r="J328" s="8" t="s">
        <v>29</v>
      </c>
      <c r="K328" s="21">
        <v>46244</v>
      </c>
      <c r="P328" s="23" t="s">
        <v>58</v>
      </c>
      <c r="Q328" s="24" t="s">
        <v>362</v>
      </c>
      <c r="R328" s="37" t="s">
        <v>41</v>
      </c>
      <c r="S328" s="41">
        <v>0</v>
      </c>
      <c r="T328" s="27" t="s">
        <v>349</v>
      </c>
    </row>
    <row r="329" spans="1:20">
      <c r="A329" s="28">
        <v>46244</v>
      </c>
      <c r="B329" s="26" t="s">
        <v>225</v>
      </c>
      <c r="C329" s="26" t="s">
        <v>225</v>
      </c>
      <c r="J329" s="8" t="s">
        <v>29</v>
      </c>
      <c r="K329" s="28">
        <v>46244</v>
      </c>
      <c r="P329" s="29" t="s">
        <v>58</v>
      </c>
      <c r="Q329" s="30" t="s">
        <v>363</v>
      </c>
      <c r="R329" s="36" t="s">
        <v>41</v>
      </c>
      <c r="S329" s="41">
        <v>3</v>
      </c>
      <c r="T329" s="32" t="s">
        <v>349</v>
      </c>
    </row>
    <row r="330" spans="1:20">
      <c r="A330" s="21">
        <v>46244</v>
      </c>
      <c r="B330" s="22" t="s">
        <v>364</v>
      </c>
      <c r="C330" s="22" t="s">
        <v>364</v>
      </c>
      <c r="J330" s="8" t="s">
        <v>29</v>
      </c>
      <c r="K330" s="21">
        <v>46244</v>
      </c>
      <c r="P330" s="23" t="s">
        <v>58</v>
      </c>
      <c r="Q330" s="24" t="s">
        <v>302</v>
      </c>
      <c r="R330" s="37" t="s">
        <v>41</v>
      </c>
      <c r="S330" s="41">
        <v>0</v>
      </c>
      <c r="T330" s="27" t="s">
        <v>349</v>
      </c>
    </row>
    <row r="331" spans="1:20">
      <c r="A331" s="28">
        <v>46244</v>
      </c>
      <c r="B331" s="26" t="s">
        <v>364</v>
      </c>
      <c r="C331" s="26" t="s">
        <v>364</v>
      </c>
      <c r="J331" s="8" t="s">
        <v>29</v>
      </c>
      <c r="K331" s="28">
        <v>46244</v>
      </c>
      <c r="P331" s="35" t="s">
        <v>31</v>
      </c>
      <c r="Q331" s="30" t="s">
        <v>72</v>
      </c>
      <c r="R331" s="36" t="s">
        <v>41</v>
      </c>
      <c r="S331" s="22">
        <v>4</v>
      </c>
      <c r="T331" s="32" t="s">
        <v>34</v>
      </c>
    </row>
    <row r="332" spans="1:20">
      <c r="A332" s="21">
        <v>46244</v>
      </c>
      <c r="B332" s="22" t="s">
        <v>364</v>
      </c>
      <c r="C332" s="22" t="s">
        <v>364</v>
      </c>
      <c r="J332" s="8" t="s">
        <v>29</v>
      </c>
      <c r="K332" s="21">
        <v>46244</v>
      </c>
      <c r="P332" s="33" t="s">
        <v>31</v>
      </c>
      <c r="Q332" s="24" t="s">
        <v>32</v>
      </c>
      <c r="R332" s="25" t="s">
        <v>50</v>
      </c>
      <c r="S332" s="26">
        <v>7</v>
      </c>
      <c r="T332" s="27" t="s">
        <v>34</v>
      </c>
    </row>
    <row r="333" spans="1:20">
      <c r="A333" s="28">
        <v>46244</v>
      </c>
      <c r="B333" s="26" t="s">
        <v>364</v>
      </c>
      <c r="C333" s="26" t="s">
        <v>364</v>
      </c>
      <c r="J333" s="8" t="s">
        <v>29</v>
      </c>
      <c r="K333" s="28">
        <v>46244</v>
      </c>
      <c r="P333" s="35" t="s">
        <v>31</v>
      </c>
      <c r="Q333" s="30" t="s">
        <v>72</v>
      </c>
      <c r="R333" s="38" t="s">
        <v>47</v>
      </c>
      <c r="S333" s="22">
        <v>2</v>
      </c>
      <c r="T333" s="32" t="s">
        <v>34</v>
      </c>
    </row>
    <row r="334" spans="1:20">
      <c r="A334" s="21">
        <v>46244</v>
      </c>
      <c r="B334" s="22" t="s">
        <v>364</v>
      </c>
      <c r="C334" s="22" t="s">
        <v>364</v>
      </c>
      <c r="J334" s="8" t="s">
        <v>29</v>
      </c>
      <c r="K334" s="21">
        <v>46244</v>
      </c>
      <c r="P334" s="33" t="s">
        <v>31</v>
      </c>
      <c r="Q334" s="24" t="s">
        <v>52</v>
      </c>
      <c r="R334" s="37" t="s">
        <v>41</v>
      </c>
      <c r="S334" s="26">
        <v>11</v>
      </c>
      <c r="T334" s="27" t="s">
        <v>34</v>
      </c>
    </row>
    <row r="335" spans="1:20" ht="43.5">
      <c r="A335" s="28">
        <v>46244</v>
      </c>
      <c r="B335" s="26" t="s">
        <v>365</v>
      </c>
      <c r="C335" s="26" t="s">
        <v>365</v>
      </c>
      <c r="J335" s="8" t="s">
        <v>29</v>
      </c>
      <c r="K335" s="28">
        <v>46244</v>
      </c>
      <c r="P335" s="40" t="s">
        <v>143</v>
      </c>
      <c r="Q335" s="30" t="s">
        <v>281</v>
      </c>
      <c r="R335" s="38" t="s">
        <v>47</v>
      </c>
      <c r="S335" s="22">
        <v>13</v>
      </c>
      <c r="T335" s="32" t="s">
        <v>34</v>
      </c>
    </row>
    <row r="336" spans="1:20">
      <c r="A336" s="21">
        <v>46334</v>
      </c>
      <c r="B336" s="22" t="s">
        <v>366</v>
      </c>
      <c r="C336" s="22" t="s">
        <v>366</v>
      </c>
      <c r="J336" s="8" t="s">
        <v>29</v>
      </c>
      <c r="K336" s="21">
        <v>46334</v>
      </c>
      <c r="P336" s="33" t="s">
        <v>31</v>
      </c>
      <c r="Q336" s="24" t="s">
        <v>77</v>
      </c>
      <c r="R336" s="39" t="s">
        <v>47</v>
      </c>
      <c r="S336" s="26">
        <v>10</v>
      </c>
      <c r="T336" s="27" t="s">
        <v>34</v>
      </c>
    </row>
    <row r="337" spans="1:20">
      <c r="A337" s="28">
        <v>46334</v>
      </c>
      <c r="B337" s="26" t="s">
        <v>366</v>
      </c>
      <c r="C337" s="26" t="s">
        <v>366</v>
      </c>
      <c r="J337" s="8" t="s">
        <v>29</v>
      </c>
      <c r="K337" s="28">
        <v>46334</v>
      </c>
      <c r="P337" s="35" t="s">
        <v>31</v>
      </c>
      <c r="Q337" s="30" t="s">
        <v>52</v>
      </c>
      <c r="R337" s="38" t="s">
        <v>47</v>
      </c>
      <c r="S337" s="22">
        <v>1</v>
      </c>
      <c r="T337" s="32" t="s">
        <v>34</v>
      </c>
    </row>
    <row r="338" spans="1:20">
      <c r="A338" s="21">
        <v>46334</v>
      </c>
      <c r="B338" s="22" t="s">
        <v>367</v>
      </c>
      <c r="C338" s="22" t="s">
        <v>367</v>
      </c>
      <c r="J338" s="8" t="s">
        <v>29</v>
      </c>
      <c r="K338" s="21">
        <v>46334</v>
      </c>
      <c r="P338" s="33" t="s">
        <v>31</v>
      </c>
      <c r="Q338" s="24" t="s">
        <v>32</v>
      </c>
      <c r="R338" s="39" t="s">
        <v>47</v>
      </c>
      <c r="S338" s="26">
        <v>1</v>
      </c>
      <c r="T338" s="27" t="s">
        <v>34</v>
      </c>
    </row>
    <row r="339" spans="1:20" ht="29.25">
      <c r="A339" s="28">
        <v>46334</v>
      </c>
      <c r="B339" s="26" t="s">
        <v>368</v>
      </c>
      <c r="C339" s="26" t="s">
        <v>368</v>
      </c>
      <c r="J339" s="8" t="s">
        <v>29</v>
      </c>
      <c r="K339" s="28">
        <v>46334</v>
      </c>
      <c r="P339" s="42" t="s">
        <v>57</v>
      </c>
      <c r="Q339" s="30" t="s">
        <v>48</v>
      </c>
      <c r="R339" s="31" t="s">
        <v>50</v>
      </c>
      <c r="S339" s="22">
        <v>10</v>
      </c>
      <c r="T339" s="32" t="s">
        <v>34</v>
      </c>
    </row>
    <row r="340" spans="1:20" ht="29.25">
      <c r="A340" s="21">
        <v>46334</v>
      </c>
      <c r="B340" s="22" t="s">
        <v>369</v>
      </c>
      <c r="C340" s="22" t="s">
        <v>369</v>
      </c>
      <c r="J340" s="8" t="s">
        <v>29</v>
      </c>
      <c r="K340" s="21">
        <v>46334</v>
      </c>
      <c r="P340" s="33" t="s">
        <v>31</v>
      </c>
      <c r="Q340" s="24" t="s">
        <v>138</v>
      </c>
      <c r="R340" s="43" t="s">
        <v>33</v>
      </c>
      <c r="S340" s="26">
        <v>1</v>
      </c>
      <c r="T340" s="27" t="s">
        <v>34</v>
      </c>
    </row>
    <row r="341" spans="1:20" ht="29.25">
      <c r="A341" s="28">
        <v>46334</v>
      </c>
      <c r="B341" s="26" t="s">
        <v>42</v>
      </c>
      <c r="C341" s="26" t="s">
        <v>42</v>
      </c>
      <c r="J341" s="8" t="s">
        <v>29</v>
      </c>
      <c r="K341" s="28">
        <v>46334</v>
      </c>
      <c r="P341" s="42" t="s">
        <v>57</v>
      </c>
      <c r="Q341" s="30" t="s">
        <v>32</v>
      </c>
      <c r="R341" s="44" t="s">
        <v>370</v>
      </c>
      <c r="S341" s="41">
        <v>200</v>
      </c>
      <c r="T341" s="32" t="s">
        <v>371</v>
      </c>
    </row>
    <row r="342" spans="1:20" ht="29.25">
      <c r="A342" s="21">
        <v>46334</v>
      </c>
      <c r="B342" s="22" t="s">
        <v>42</v>
      </c>
      <c r="C342" s="22" t="s">
        <v>42</v>
      </c>
      <c r="J342" s="8" t="s">
        <v>29</v>
      </c>
      <c r="K342" s="21">
        <v>46334</v>
      </c>
      <c r="P342" s="23" t="s">
        <v>58</v>
      </c>
      <c r="Q342" s="24" t="s">
        <v>52</v>
      </c>
      <c r="R342" s="37" t="s">
        <v>41</v>
      </c>
      <c r="S342" s="26">
        <v>7</v>
      </c>
      <c r="T342" s="45"/>
    </row>
    <row r="343" spans="1:20" ht="29.25">
      <c r="A343" s="28">
        <v>46334</v>
      </c>
      <c r="B343" s="26" t="s">
        <v>42</v>
      </c>
      <c r="C343" s="26" t="s">
        <v>42</v>
      </c>
      <c r="J343" s="8" t="s">
        <v>29</v>
      </c>
      <c r="K343" s="28">
        <v>46334</v>
      </c>
      <c r="P343" s="29" t="s">
        <v>58</v>
      </c>
      <c r="Q343" s="30" t="s">
        <v>32</v>
      </c>
      <c r="R343" s="36" t="s">
        <v>41</v>
      </c>
      <c r="S343" s="22">
        <v>10</v>
      </c>
      <c r="T343" s="32" t="s">
        <v>34</v>
      </c>
    </row>
    <row r="344" spans="1:20" ht="29.25">
      <c r="A344" s="21">
        <v>46334</v>
      </c>
      <c r="B344" s="22" t="s">
        <v>42</v>
      </c>
      <c r="C344" s="22" t="s">
        <v>42</v>
      </c>
      <c r="J344" s="8" t="s">
        <v>29</v>
      </c>
      <c r="K344" s="21">
        <v>46334</v>
      </c>
      <c r="P344" s="23" t="s">
        <v>58</v>
      </c>
      <c r="Q344" s="24" t="s">
        <v>48</v>
      </c>
      <c r="R344" s="37" t="s">
        <v>41</v>
      </c>
      <c r="S344" s="26">
        <v>7</v>
      </c>
      <c r="T344" s="27" t="s">
        <v>34</v>
      </c>
    </row>
    <row r="345" spans="1:20">
      <c r="A345" s="28">
        <v>46364</v>
      </c>
      <c r="B345" s="26" t="s">
        <v>372</v>
      </c>
      <c r="C345" s="26" t="s">
        <v>372</v>
      </c>
      <c r="J345" s="8" t="s">
        <v>29</v>
      </c>
      <c r="K345" s="28">
        <v>46364</v>
      </c>
      <c r="P345" s="35" t="s">
        <v>31</v>
      </c>
      <c r="Q345" s="30" t="s">
        <v>231</v>
      </c>
      <c r="R345" s="31" t="s">
        <v>50</v>
      </c>
      <c r="S345" s="22">
        <v>25</v>
      </c>
      <c r="T345" s="32" t="s">
        <v>34</v>
      </c>
    </row>
    <row r="346" spans="1:20">
      <c r="A346" s="28">
        <v>46364</v>
      </c>
      <c r="B346" s="22" t="s">
        <v>373</v>
      </c>
      <c r="C346" s="22" t="s">
        <v>373</v>
      </c>
      <c r="J346" s="8" t="s">
        <v>29</v>
      </c>
      <c r="K346" s="46"/>
      <c r="P346" s="23" t="s">
        <v>58</v>
      </c>
      <c r="Q346" s="24" t="s">
        <v>72</v>
      </c>
      <c r="R346" s="37" t="s">
        <v>41</v>
      </c>
      <c r="S346" s="26">
        <v>2</v>
      </c>
      <c r="T346" s="27" t="s">
        <v>67</v>
      </c>
    </row>
    <row r="347" spans="1:20">
      <c r="A347" s="28">
        <v>46364</v>
      </c>
      <c r="B347" s="26" t="s">
        <v>373</v>
      </c>
      <c r="C347" s="26" t="s">
        <v>373</v>
      </c>
      <c r="J347" s="8" t="s">
        <v>29</v>
      </c>
      <c r="K347" s="45"/>
      <c r="P347" s="42" t="s">
        <v>57</v>
      </c>
      <c r="Q347" s="30" t="s">
        <v>32</v>
      </c>
      <c r="R347" s="38" t="s">
        <v>47</v>
      </c>
      <c r="S347" s="22">
        <v>5</v>
      </c>
      <c r="T347" s="32" t="s">
        <v>34</v>
      </c>
    </row>
    <row r="348" spans="1:20">
      <c r="A348" s="22" t="s">
        <v>374</v>
      </c>
      <c r="B348" s="22" t="s">
        <v>375</v>
      </c>
      <c r="C348" s="22" t="s">
        <v>375</v>
      </c>
      <c r="J348" s="8" t="s">
        <v>29</v>
      </c>
      <c r="K348" s="22" t="s">
        <v>374</v>
      </c>
      <c r="P348" s="33" t="s">
        <v>31</v>
      </c>
      <c r="Q348" s="24" t="s">
        <v>32</v>
      </c>
      <c r="R348" s="37" t="s">
        <v>41</v>
      </c>
      <c r="S348" s="26">
        <v>24</v>
      </c>
      <c r="T348" s="27" t="s">
        <v>34</v>
      </c>
    </row>
    <row r="349" spans="1:20">
      <c r="A349" s="28">
        <v>46247</v>
      </c>
      <c r="B349" s="26" t="s">
        <v>375</v>
      </c>
      <c r="C349" s="26" t="s">
        <v>375</v>
      </c>
      <c r="J349" s="8" t="s">
        <v>29</v>
      </c>
      <c r="K349" s="28">
        <v>46247</v>
      </c>
      <c r="P349" s="29" t="s">
        <v>58</v>
      </c>
      <c r="Q349" s="30" t="s">
        <v>32</v>
      </c>
      <c r="R349" s="36" t="s">
        <v>41</v>
      </c>
      <c r="S349" s="22">
        <v>1</v>
      </c>
      <c r="T349" s="32" t="s">
        <v>67</v>
      </c>
    </row>
    <row r="350" spans="1:20">
      <c r="A350" s="21">
        <v>46247</v>
      </c>
      <c r="B350" s="22" t="s">
        <v>375</v>
      </c>
      <c r="C350" s="22" t="s">
        <v>375</v>
      </c>
      <c r="J350" s="8" t="s">
        <v>29</v>
      </c>
      <c r="K350" s="21">
        <v>46247</v>
      </c>
      <c r="P350" s="33" t="s">
        <v>31</v>
      </c>
      <c r="Q350" s="24" t="s">
        <v>52</v>
      </c>
      <c r="R350" s="43" t="s">
        <v>33</v>
      </c>
      <c r="S350" s="26">
        <v>12</v>
      </c>
      <c r="T350" s="27" t="s">
        <v>34</v>
      </c>
    </row>
    <row r="351" spans="1:20">
      <c r="A351" s="28">
        <v>46247</v>
      </c>
      <c r="B351" s="26" t="s">
        <v>375</v>
      </c>
      <c r="C351" s="26" t="s">
        <v>375</v>
      </c>
      <c r="J351" s="8" t="s">
        <v>29</v>
      </c>
      <c r="K351" s="28">
        <v>46247</v>
      </c>
      <c r="P351" s="35" t="s">
        <v>31</v>
      </c>
      <c r="Q351" s="30" t="s">
        <v>32</v>
      </c>
      <c r="R351" s="47" t="s">
        <v>33</v>
      </c>
      <c r="S351" s="22">
        <v>30</v>
      </c>
      <c r="T351" s="32" t="s">
        <v>34</v>
      </c>
    </row>
    <row r="352" spans="1:20" ht="29.25">
      <c r="A352" s="21">
        <v>46247</v>
      </c>
      <c r="B352" s="22" t="s">
        <v>376</v>
      </c>
      <c r="C352" s="22" t="s">
        <v>376</v>
      </c>
      <c r="J352" s="8" t="s">
        <v>29</v>
      </c>
      <c r="K352" s="21">
        <v>46247</v>
      </c>
      <c r="P352" s="33" t="s">
        <v>31</v>
      </c>
      <c r="Q352" s="24" t="s">
        <v>230</v>
      </c>
      <c r="R352" s="43" t="s">
        <v>33</v>
      </c>
      <c r="S352" s="26">
        <v>8</v>
      </c>
      <c r="T352" s="27" t="s">
        <v>34</v>
      </c>
    </row>
    <row r="353" spans="1:20" ht="43.5">
      <c r="A353" s="28">
        <v>46247</v>
      </c>
      <c r="B353" s="26" t="s">
        <v>377</v>
      </c>
      <c r="C353" s="26" t="s">
        <v>377</v>
      </c>
      <c r="J353" s="8" t="s">
        <v>29</v>
      </c>
      <c r="K353" s="28">
        <v>46247</v>
      </c>
      <c r="P353" s="35" t="s">
        <v>31</v>
      </c>
      <c r="Q353" s="30" t="s">
        <v>72</v>
      </c>
      <c r="R353" s="31" t="s">
        <v>50</v>
      </c>
      <c r="S353" s="22">
        <v>7</v>
      </c>
      <c r="T353" s="32" t="s">
        <v>34</v>
      </c>
    </row>
    <row r="354" spans="1:20">
      <c r="A354" s="21">
        <v>46248</v>
      </c>
      <c r="B354" s="22" t="s">
        <v>378</v>
      </c>
      <c r="C354" s="22" t="s">
        <v>378</v>
      </c>
      <c r="J354" s="8" t="s">
        <v>29</v>
      </c>
      <c r="K354" s="21">
        <v>46248</v>
      </c>
      <c r="P354" s="33" t="s">
        <v>31</v>
      </c>
      <c r="Q354" s="24" t="s">
        <v>32</v>
      </c>
      <c r="R354" s="37" t="s">
        <v>41</v>
      </c>
      <c r="S354" s="26">
        <v>1</v>
      </c>
      <c r="T354" s="27" t="s">
        <v>34</v>
      </c>
    </row>
    <row r="355" spans="1:20" ht="29.25">
      <c r="A355" s="28">
        <v>46249</v>
      </c>
      <c r="B355" s="26" t="s">
        <v>351</v>
      </c>
      <c r="C355" s="26" t="s">
        <v>351</v>
      </c>
      <c r="J355" s="8" t="s">
        <v>29</v>
      </c>
      <c r="K355" s="28">
        <v>46249</v>
      </c>
      <c r="P355" s="29" t="s">
        <v>58</v>
      </c>
      <c r="Q355" s="30" t="s">
        <v>121</v>
      </c>
      <c r="R355" s="38" t="s">
        <v>47</v>
      </c>
      <c r="S355" s="22">
        <v>1</v>
      </c>
      <c r="T355" s="32" t="s">
        <v>67</v>
      </c>
    </row>
    <row r="356" spans="1:20">
      <c r="A356" s="21">
        <v>46251</v>
      </c>
      <c r="B356" s="22" t="s">
        <v>379</v>
      </c>
      <c r="C356" s="22" t="s">
        <v>379</v>
      </c>
      <c r="J356" s="8" t="s">
        <v>29</v>
      </c>
      <c r="K356" s="21">
        <v>46251</v>
      </c>
      <c r="P356" s="33" t="s">
        <v>31</v>
      </c>
      <c r="Q356" s="24" t="s">
        <v>161</v>
      </c>
      <c r="R356" s="37" t="s">
        <v>41</v>
      </c>
      <c r="S356" s="41">
        <v>825</v>
      </c>
      <c r="T356" s="45"/>
    </row>
    <row r="357" spans="1:20">
      <c r="A357" s="28">
        <v>46251</v>
      </c>
      <c r="B357" s="26" t="s">
        <v>379</v>
      </c>
      <c r="C357" s="26" t="s">
        <v>379</v>
      </c>
      <c r="J357" s="8" t="s">
        <v>29</v>
      </c>
      <c r="K357" s="28">
        <v>46251</v>
      </c>
      <c r="P357" s="35" t="s">
        <v>31</v>
      </c>
      <c r="Q357" s="30" t="s">
        <v>89</v>
      </c>
      <c r="R357" s="36" t="s">
        <v>41</v>
      </c>
      <c r="S357" s="22">
        <v>1</v>
      </c>
      <c r="T357" s="32" t="s">
        <v>34</v>
      </c>
    </row>
    <row r="358" spans="1:20">
      <c r="A358" s="21">
        <v>46252</v>
      </c>
      <c r="B358" s="22" t="s">
        <v>364</v>
      </c>
      <c r="C358" s="22" t="s">
        <v>364</v>
      </c>
      <c r="J358" s="8" t="s">
        <v>29</v>
      </c>
      <c r="K358" s="21">
        <v>46252</v>
      </c>
      <c r="P358" s="33" t="s">
        <v>31</v>
      </c>
      <c r="Q358" s="24" t="s">
        <v>115</v>
      </c>
      <c r="R358" s="37" t="s">
        <v>41</v>
      </c>
      <c r="S358" s="26">
        <v>5</v>
      </c>
      <c r="T358" s="27" t="s">
        <v>34</v>
      </c>
    </row>
    <row r="359" spans="1:20">
      <c r="A359" s="28">
        <v>46252</v>
      </c>
      <c r="B359" s="26" t="s">
        <v>364</v>
      </c>
      <c r="C359" s="26" t="s">
        <v>364</v>
      </c>
      <c r="J359" s="8" t="s">
        <v>29</v>
      </c>
      <c r="K359" s="28">
        <v>46252</v>
      </c>
      <c r="P359" s="35" t="s">
        <v>31</v>
      </c>
      <c r="Q359" s="30" t="s">
        <v>72</v>
      </c>
      <c r="R359" s="36" t="s">
        <v>41</v>
      </c>
      <c r="S359" s="41">
        <v>1</v>
      </c>
      <c r="T359" s="32" t="s">
        <v>34</v>
      </c>
    </row>
    <row r="360" spans="1:20" ht="29.25">
      <c r="A360" s="21">
        <v>46252</v>
      </c>
      <c r="B360" s="22" t="s">
        <v>321</v>
      </c>
      <c r="C360" s="22" t="s">
        <v>321</v>
      </c>
      <c r="J360" s="8" t="s">
        <v>29</v>
      </c>
      <c r="K360" s="21">
        <v>46252</v>
      </c>
      <c r="P360" s="33" t="s">
        <v>31</v>
      </c>
      <c r="Q360" s="24" t="s">
        <v>46</v>
      </c>
      <c r="R360" s="37" t="s">
        <v>41</v>
      </c>
      <c r="S360" s="41">
        <v>1</v>
      </c>
      <c r="T360" s="27" t="s">
        <v>34</v>
      </c>
    </row>
    <row r="361" spans="1:20" ht="29.25">
      <c r="A361" s="28">
        <v>46252</v>
      </c>
      <c r="B361" s="26" t="s">
        <v>321</v>
      </c>
      <c r="C361" s="26" t="s">
        <v>321</v>
      </c>
      <c r="J361" s="8" t="s">
        <v>29</v>
      </c>
      <c r="K361" s="28">
        <v>46252</v>
      </c>
      <c r="P361" s="35" t="s">
        <v>31</v>
      </c>
      <c r="Q361" s="30" t="s">
        <v>32</v>
      </c>
      <c r="R361" s="36" t="s">
        <v>41</v>
      </c>
      <c r="S361" s="22">
        <v>24</v>
      </c>
      <c r="T361" s="32" t="s">
        <v>34</v>
      </c>
    </row>
    <row r="362" spans="1:20" ht="29.25">
      <c r="A362" s="21">
        <v>46252</v>
      </c>
      <c r="B362" s="22" t="s">
        <v>321</v>
      </c>
      <c r="C362" s="22" t="s">
        <v>321</v>
      </c>
      <c r="J362" s="8" t="s">
        <v>29</v>
      </c>
      <c r="K362" s="21">
        <v>46252</v>
      </c>
      <c r="P362" s="33" t="s">
        <v>31</v>
      </c>
      <c r="Q362" s="24" t="s">
        <v>77</v>
      </c>
      <c r="R362" s="43" t="s">
        <v>33</v>
      </c>
      <c r="S362" s="26">
        <v>8</v>
      </c>
      <c r="T362" s="27" t="s">
        <v>34</v>
      </c>
    </row>
    <row r="363" spans="1:20" ht="29.25">
      <c r="A363" s="28">
        <v>46252</v>
      </c>
      <c r="B363" s="26" t="s">
        <v>321</v>
      </c>
      <c r="C363" s="26" t="s">
        <v>321</v>
      </c>
      <c r="J363" s="8" t="s">
        <v>29</v>
      </c>
      <c r="K363" s="28">
        <v>46252</v>
      </c>
      <c r="P363" s="35" t="s">
        <v>31</v>
      </c>
      <c r="Q363" s="30" t="s">
        <v>32</v>
      </c>
      <c r="R363" s="48" t="s">
        <v>380</v>
      </c>
      <c r="S363" s="22">
        <v>3</v>
      </c>
      <c r="T363" s="32" t="s">
        <v>34</v>
      </c>
    </row>
    <row r="364" spans="1:20" ht="29.25">
      <c r="A364" s="21">
        <v>46252</v>
      </c>
      <c r="B364" s="22" t="s">
        <v>321</v>
      </c>
      <c r="C364" s="22" t="s">
        <v>321</v>
      </c>
      <c r="J364" s="8" t="s">
        <v>29</v>
      </c>
      <c r="K364" s="21">
        <v>46252</v>
      </c>
      <c r="P364" s="49" t="s">
        <v>57</v>
      </c>
      <c r="Q364" s="24" t="s">
        <v>72</v>
      </c>
      <c r="R364" s="50" t="s">
        <v>380</v>
      </c>
      <c r="S364" s="26">
        <v>6</v>
      </c>
      <c r="T364" s="27" t="s">
        <v>34</v>
      </c>
    </row>
    <row r="365" spans="1:20">
      <c r="A365" s="28">
        <v>46252</v>
      </c>
      <c r="B365" s="26" t="s">
        <v>225</v>
      </c>
      <c r="C365" s="26" t="s">
        <v>225</v>
      </c>
      <c r="J365" s="8" t="s">
        <v>29</v>
      </c>
      <c r="K365" s="28">
        <v>46252</v>
      </c>
      <c r="P365" s="42" t="s">
        <v>57</v>
      </c>
      <c r="Q365" s="30" t="s">
        <v>77</v>
      </c>
      <c r="R365" s="48" t="s">
        <v>380</v>
      </c>
      <c r="S365" s="41">
        <v>2</v>
      </c>
      <c r="T365" s="32" t="s">
        <v>34</v>
      </c>
    </row>
    <row r="366" spans="1:20">
      <c r="A366" s="21">
        <v>46252</v>
      </c>
      <c r="B366" s="22" t="s">
        <v>225</v>
      </c>
      <c r="C366" s="22" t="s">
        <v>225</v>
      </c>
      <c r="J366" s="8" t="s">
        <v>29</v>
      </c>
      <c r="K366" s="21">
        <v>46252</v>
      </c>
      <c r="P366" s="23" t="s">
        <v>58</v>
      </c>
      <c r="Q366" s="24" t="s">
        <v>138</v>
      </c>
      <c r="R366" s="37" t="s">
        <v>41</v>
      </c>
      <c r="S366" s="26">
        <v>1</v>
      </c>
      <c r="T366" s="27" t="s">
        <v>67</v>
      </c>
    </row>
    <row r="367" spans="1:20" ht="29.25">
      <c r="A367" s="28">
        <v>46253</v>
      </c>
      <c r="B367" s="26" t="s">
        <v>42</v>
      </c>
      <c r="C367" s="26" t="s">
        <v>42</v>
      </c>
      <c r="J367" s="8" t="s">
        <v>29</v>
      </c>
      <c r="K367" s="28">
        <v>46253</v>
      </c>
      <c r="P367" s="29" t="s">
        <v>58</v>
      </c>
      <c r="Q367" s="30" t="s">
        <v>52</v>
      </c>
      <c r="R367" s="36" t="s">
        <v>41</v>
      </c>
      <c r="S367" s="22">
        <v>8</v>
      </c>
      <c r="T367" s="32" t="s">
        <v>67</v>
      </c>
    </row>
    <row r="368" spans="1:20" ht="29.25">
      <c r="A368" s="21">
        <v>46253</v>
      </c>
      <c r="B368" s="22" t="s">
        <v>111</v>
      </c>
      <c r="C368" s="22" t="s">
        <v>111</v>
      </c>
      <c r="J368" s="8" t="s">
        <v>29</v>
      </c>
      <c r="K368" s="21">
        <v>46253</v>
      </c>
      <c r="P368" s="49" t="s">
        <v>57</v>
      </c>
      <c r="Q368" s="24" t="s">
        <v>32</v>
      </c>
      <c r="R368" s="43" t="s">
        <v>33</v>
      </c>
      <c r="S368" s="26">
        <v>15</v>
      </c>
      <c r="T368" s="27" t="s">
        <v>34</v>
      </c>
    </row>
    <row r="369" spans="1:25">
      <c r="A369" s="28">
        <v>46255</v>
      </c>
      <c r="B369" s="26" t="s">
        <v>381</v>
      </c>
      <c r="C369" s="26" t="s">
        <v>381</v>
      </c>
      <c r="J369" s="8" t="s">
        <v>29</v>
      </c>
      <c r="K369" s="28">
        <v>46255</v>
      </c>
      <c r="P369" s="35" t="s">
        <v>31</v>
      </c>
      <c r="Q369" s="30" t="s">
        <v>382</v>
      </c>
      <c r="R369" s="38" t="s">
        <v>47</v>
      </c>
      <c r="S369" s="22">
        <v>1</v>
      </c>
      <c r="T369" s="32" t="s">
        <v>34</v>
      </c>
    </row>
    <row r="370" spans="1:25">
      <c r="A370" s="21">
        <v>46255</v>
      </c>
      <c r="B370" s="22" t="s">
        <v>381</v>
      </c>
      <c r="C370" s="22" t="s">
        <v>381</v>
      </c>
      <c r="J370" s="8" t="s">
        <v>29</v>
      </c>
      <c r="K370" s="21">
        <v>46255</v>
      </c>
      <c r="P370" s="49" t="s">
        <v>57</v>
      </c>
      <c r="Q370" s="24" t="s">
        <v>32</v>
      </c>
      <c r="R370" s="37" t="s">
        <v>41</v>
      </c>
      <c r="S370" s="26">
        <v>1</v>
      </c>
      <c r="T370" s="27" t="s">
        <v>34</v>
      </c>
    </row>
    <row r="371" spans="1:25">
      <c r="A371" s="28">
        <v>46256</v>
      </c>
      <c r="B371" s="26" t="s">
        <v>264</v>
      </c>
      <c r="C371" s="26" t="s">
        <v>264</v>
      </c>
      <c r="J371" s="8" t="s">
        <v>29</v>
      </c>
      <c r="K371" s="28">
        <v>46256</v>
      </c>
      <c r="P371" s="42" t="s">
        <v>57</v>
      </c>
      <c r="Q371" s="30" t="s">
        <v>32</v>
      </c>
      <c r="R371" s="31" t="s">
        <v>50</v>
      </c>
      <c r="S371" s="22">
        <v>1</v>
      </c>
      <c r="T371" s="32" t="s">
        <v>34</v>
      </c>
    </row>
    <row r="372" spans="1:25" ht="29.25">
      <c r="A372" s="21">
        <v>46256</v>
      </c>
      <c r="B372" s="22" t="s">
        <v>383</v>
      </c>
      <c r="C372" s="22" t="s">
        <v>383</v>
      </c>
      <c r="J372" s="8" t="s">
        <v>29</v>
      </c>
      <c r="K372" s="21">
        <v>46256</v>
      </c>
      <c r="P372" s="49" t="s">
        <v>57</v>
      </c>
      <c r="Q372" s="24" t="s">
        <v>48</v>
      </c>
      <c r="R372" s="25" t="s">
        <v>50</v>
      </c>
      <c r="S372" s="26">
        <v>2</v>
      </c>
      <c r="T372" s="45"/>
    </row>
    <row r="373" spans="1:25" ht="29.25">
      <c r="A373" s="28">
        <v>46258</v>
      </c>
      <c r="B373" s="26" t="s">
        <v>384</v>
      </c>
      <c r="C373" s="26" t="s">
        <v>384</v>
      </c>
      <c r="J373" s="8" t="s">
        <v>29</v>
      </c>
      <c r="K373" s="28">
        <v>46258</v>
      </c>
      <c r="P373" s="35" t="s">
        <v>31</v>
      </c>
      <c r="Q373" s="30" t="s">
        <v>32</v>
      </c>
      <c r="R373" s="47" t="s">
        <v>33</v>
      </c>
      <c r="S373" s="22">
        <v>1</v>
      </c>
      <c r="T373" s="46"/>
    </row>
    <row r="374" spans="1:25">
      <c r="A374" s="21">
        <v>46258</v>
      </c>
      <c r="B374" s="22" t="s">
        <v>385</v>
      </c>
      <c r="C374" s="22" t="s">
        <v>385</v>
      </c>
      <c r="J374" s="8" t="s">
        <v>29</v>
      </c>
      <c r="K374" s="21">
        <v>46258</v>
      </c>
      <c r="P374" s="51"/>
      <c r="Q374" s="52"/>
      <c r="R374" s="52"/>
      <c r="S374" s="45"/>
      <c r="T374" s="45"/>
    </row>
    <row r="375" spans="1:25">
      <c r="A375" s="28">
        <v>46258</v>
      </c>
      <c r="B375" s="26" t="s">
        <v>385</v>
      </c>
      <c r="C375" s="26" t="s">
        <v>385</v>
      </c>
      <c r="J375" s="8" t="s">
        <v>29</v>
      </c>
      <c r="K375" s="28">
        <v>46258</v>
      </c>
      <c r="P375" s="35" t="s">
        <v>31</v>
      </c>
      <c r="Q375" s="30" t="s">
        <v>116</v>
      </c>
      <c r="R375" s="36" t="s">
        <v>41</v>
      </c>
      <c r="S375" s="22">
        <v>3</v>
      </c>
      <c r="T375" s="32" t="s">
        <v>34</v>
      </c>
    </row>
    <row r="376" spans="1:25">
      <c r="A376" s="21">
        <v>46258</v>
      </c>
      <c r="B376" s="22" t="s">
        <v>386</v>
      </c>
      <c r="C376" s="22" t="s">
        <v>386</v>
      </c>
      <c r="J376" s="8" t="s">
        <v>29</v>
      </c>
      <c r="K376" s="21">
        <v>46258</v>
      </c>
      <c r="P376" s="33" t="s">
        <v>31</v>
      </c>
      <c r="Q376" s="24" t="s">
        <v>89</v>
      </c>
      <c r="R376" s="37" t="s">
        <v>41</v>
      </c>
      <c r="S376" s="26">
        <v>2</v>
      </c>
      <c r="T376" s="27" t="s">
        <v>34</v>
      </c>
    </row>
    <row r="377" spans="1:25" ht="29.25">
      <c r="A377" s="28">
        <v>46259</v>
      </c>
      <c r="B377" s="26" t="s">
        <v>387</v>
      </c>
      <c r="C377" s="26" t="s">
        <v>387</v>
      </c>
      <c r="J377" s="8" t="s">
        <v>29</v>
      </c>
      <c r="K377" s="28">
        <v>46259</v>
      </c>
      <c r="P377" s="35" t="s">
        <v>31</v>
      </c>
      <c r="Q377" s="30" t="s">
        <v>32</v>
      </c>
      <c r="R377" s="53" t="s">
        <v>388</v>
      </c>
      <c r="S377" s="41">
        <v>43</v>
      </c>
      <c r="T377" s="46"/>
    </row>
    <row r="378" spans="1:25" ht="29.25">
      <c r="A378" s="28">
        <v>46259</v>
      </c>
      <c r="B378" s="26" t="s">
        <v>389</v>
      </c>
      <c r="C378" s="26" t="s">
        <v>389</v>
      </c>
      <c r="J378" s="8" t="s">
        <v>29</v>
      </c>
      <c r="K378" s="28">
        <v>46259</v>
      </c>
      <c r="P378" s="35" t="s">
        <v>31</v>
      </c>
      <c r="Q378" s="30" t="s">
        <v>162</v>
      </c>
      <c r="R378" s="36" t="s">
        <v>41</v>
      </c>
      <c r="S378" s="22">
        <v>6</v>
      </c>
      <c r="T378" s="32" t="s">
        <v>34</v>
      </c>
    </row>
    <row r="379" spans="1:25" ht="29.25">
      <c r="A379" s="21">
        <v>46259</v>
      </c>
      <c r="B379" s="22" t="s">
        <v>389</v>
      </c>
      <c r="C379" s="22" t="s">
        <v>389</v>
      </c>
      <c r="J379" s="8" t="s">
        <v>29</v>
      </c>
      <c r="K379" s="21">
        <v>46259</v>
      </c>
      <c r="P379" s="33" t="s">
        <v>31</v>
      </c>
      <c r="Q379" s="24" t="s">
        <v>32</v>
      </c>
      <c r="R379" s="37" t="s">
        <v>41</v>
      </c>
      <c r="S379" s="26">
        <v>77</v>
      </c>
      <c r="T379" s="27" t="s">
        <v>34</v>
      </c>
    </row>
    <row r="380" spans="1:25" ht="29.25">
      <c r="A380" s="28">
        <v>46259</v>
      </c>
      <c r="B380" s="26" t="s">
        <v>389</v>
      </c>
      <c r="C380" s="26" t="s">
        <v>389</v>
      </c>
      <c r="J380" s="8" t="s">
        <v>29</v>
      </c>
      <c r="K380" s="28">
        <v>46259</v>
      </c>
      <c r="P380" s="35" t="s">
        <v>31</v>
      </c>
      <c r="Q380" s="30" t="s">
        <v>121</v>
      </c>
      <c r="R380" s="36" t="s">
        <v>41</v>
      </c>
      <c r="S380" s="22">
        <v>7</v>
      </c>
      <c r="T380" s="32" t="s">
        <v>34</v>
      </c>
    </row>
    <row r="381" spans="1:25" ht="29.25">
      <c r="A381" s="21">
        <v>46259</v>
      </c>
      <c r="B381" s="22" t="s">
        <v>389</v>
      </c>
      <c r="C381" s="22" t="s">
        <v>389</v>
      </c>
      <c r="J381" s="8" t="s">
        <v>29</v>
      </c>
      <c r="K381" s="21">
        <v>46259</v>
      </c>
      <c r="P381" s="33" t="s">
        <v>31</v>
      </c>
      <c r="Q381" s="24" t="s">
        <v>48</v>
      </c>
      <c r="R381" s="37" t="s">
        <v>41</v>
      </c>
      <c r="S381" s="26">
        <v>2</v>
      </c>
      <c r="T381" s="27" t="s">
        <v>34</v>
      </c>
    </row>
    <row r="382" spans="1:25" ht="29.25">
      <c r="A382" s="54">
        <v>46258</v>
      </c>
      <c r="B382" s="26" t="s">
        <v>42</v>
      </c>
      <c r="C382" s="26" t="s">
        <v>42</v>
      </c>
      <c r="D382" t="s">
        <v>390</v>
      </c>
      <c r="E382" t="s">
        <v>43</v>
      </c>
      <c r="F382" t="s">
        <v>391</v>
      </c>
      <c r="G382" t="s">
        <v>44</v>
      </c>
      <c r="H382" t="s">
        <v>44</v>
      </c>
      <c r="I382" t="s">
        <v>392</v>
      </c>
      <c r="J382" s="8" t="s">
        <v>29</v>
      </c>
      <c r="K382" s="45"/>
      <c r="P382" s="35" t="s">
        <v>31</v>
      </c>
      <c r="Q382" s="30" t="s">
        <v>77</v>
      </c>
      <c r="R382" s="31" t="s">
        <v>50</v>
      </c>
      <c r="S382" s="22">
        <v>2</v>
      </c>
      <c r="T382" s="32" t="s">
        <v>34</v>
      </c>
    </row>
    <row r="383" spans="1:25" ht="30">
      <c r="A383" s="54">
        <v>46258</v>
      </c>
      <c r="B383" s="22" t="s">
        <v>42</v>
      </c>
      <c r="C383" s="22" t="s">
        <v>42</v>
      </c>
      <c r="D383" t="s">
        <v>390</v>
      </c>
      <c r="E383" t="s">
        <v>43</v>
      </c>
      <c r="F383" t="s">
        <v>391</v>
      </c>
      <c r="G383" t="s">
        <v>44</v>
      </c>
      <c r="H383" t="s">
        <v>44</v>
      </c>
      <c r="I383" t="s">
        <v>392</v>
      </c>
      <c r="J383" s="8" t="s">
        <v>29</v>
      </c>
      <c r="K383" s="46"/>
      <c r="L383" s="55" t="s">
        <v>45</v>
      </c>
      <c r="M383" t="s">
        <v>393</v>
      </c>
      <c r="N383" t="s">
        <v>394</v>
      </c>
      <c r="O383">
        <v>60001</v>
      </c>
      <c r="P383" s="33" t="s">
        <v>31</v>
      </c>
      <c r="Q383" s="24" t="s">
        <v>52</v>
      </c>
      <c r="R383" s="43" t="s">
        <v>33</v>
      </c>
      <c r="S383" s="26">
        <v>10</v>
      </c>
      <c r="T383" s="27" t="s">
        <v>34</v>
      </c>
      <c r="U383">
        <v>4350</v>
      </c>
      <c r="Y383" s="10">
        <v>0.55000000000000004</v>
      </c>
    </row>
    <row r="384" spans="1:25" ht="29.25">
      <c r="A384" s="54">
        <v>46258</v>
      </c>
      <c r="B384" s="26" t="s">
        <v>42</v>
      </c>
      <c r="C384" s="26" t="s">
        <v>42</v>
      </c>
      <c r="D384" t="s">
        <v>390</v>
      </c>
      <c r="E384" t="s">
        <v>43</v>
      </c>
      <c r="F384" t="s">
        <v>391</v>
      </c>
      <c r="G384" t="s">
        <v>44</v>
      </c>
      <c r="H384" t="s">
        <v>44</v>
      </c>
      <c r="I384" t="s">
        <v>392</v>
      </c>
      <c r="J384" s="8" t="s">
        <v>29</v>
      </c>
      <c r="K384" s="45"/>
      <c r="P384" s="35" t="s">
        <v>31</v>
      </c>
      <c r="Q384" s="30" t="s">
        <v>48</v>
      </c>
      <c r="R384" s="38" t="s">
        <v>47</v>
      </c>
      <c r="S384" s="22">
        <v>5</v>
      </c>
      <c r="T384" s="32" t="s">
        <v>34</v>
      </c>
      <c r="U384">
        <v>10250</v>
      </c>
      <c r="Y384" s="10">
        <v>0.55000000000000004</v>
      </c>
    </row>
    <row r="385" spans="1:25" ht="29.25">
      <c r="A385" s="54">
        <v>46258</v>
      </c>
      <c r="B385" s="22" t="s">
        <v>42</v>
      </c>
      <c r="C385" s="22" t="s">
        <v>42</v>
      </c>
      <c r="D385" t="s">
        <v>390</v>
      </c>
      <c r="E385" t="s">
        <v>43</v>
      </c>
      <c r="F385" t="s">
        <v>391</v>
      </c>
      <c r="G385" t="s">
        <v>44</v>
      </c>
      <c r="H385" t="s">
        <v>44</v>
      </c>
      <c r="I385" t="s">
        <v>392</v>
      </c>
      <c r="J385" s="8" t="s">
        <v>29</v>
      </c>
      <c r="K385" s="46"/>
      <c r="P385" s="33" t="s">
        <v>31</v>
      </c>
      <c r="Q385" s="24" t="s">
        <v>32</v>
      </c>
      <c r="R385" s="43" t="s">
        <v>33</v>
      </c>
      <c r="S385" s="26">
        <v>15</v>
      </c>
      <c r="T385" s="27" t="s">
        <v>34</v>
      </c>
      <c r="U385">
        <v>10300</v>
      </c>
    </row>
    <row r="386" spans="1:25" ht="29.25">
      <c r="A386" s="54">
        <v>46258</v>
      </c>
      <c r="B386" s="26" t="s">
        <v>42</v>
      </c>
      <c r="C386" s="26" t="s">
        <v>42</v>
      </c>
      <c r="D386" t="s">
        <v>390</v>
      </c>
      <c r="E386" t="s">
        <v>43</v>
      </c>
      <c r="F386" t="s">
        <v>391</v>
      </c>
      <c r="G386" t="s">
        <v>44</v>
      </c>
      <c r="H386" t="s">
        <v>44</v>
      </c>
      <c r="I386" t="s">
        <v>392</v>
      </c>
      <c r="J386" s="8" t="s">
        <v>29</v>
      </c>
      <c r="K386" s="45"/>
      <c r="P386" s="42" t="s">
        <v>57</v>
      </c>
      <c r="Q386" s="30" t="s">
        <v>32</v>
      </c>
      <c r="R386" s="47" t="s">
        <v>33</v>
      </c>
      <c r="S386" s="22">
        <v>10</v>
      </c>
      <c r="T386" s="32" t="s">
        <v>34</v>
      </c>
      <c r="U386">
        <v>12500</v>
      </c>
    </row>
    <row r="387" spans="1:25" ht="29.25">
      <c r="A387" s="54">
        <v>46258</v>
      </c>
      <c r="B387" s="22" t="s">
        <v>42</v>
      </c>
      <c r="C387" s="22" t="s">
        <v>42</v>
      </c>
      <c r="D387" t="s">
        <v>390</v>
      </c>
      <c r="E387" t="s">
        <v>43</v>
      </c>
      <c r="F387" t="s">
        <v>391</v>
      </c>
      <c r="G387" t="s">
        <v>44</v>
      </c>
      <c r="H387" t="s">
        <v>44</v>
      </c>
      <c r="I387" t="s">
        <v>392</v>
      </c>
      <c r="J387" s="8" t="s">
        <v>29</v>
      </c>
      <c r="K387" s="46"/>
      <c r="P387" s="49" t="s">
        <v>57</v>
      </c>
      <c r="Q387" s="24" t="s">
        <v>52</v>
      </c>
      <c r="R387" s="37" t="s">
        <v>41</v>
      </c>
      <c r="S387" s="26">
        <v>10</v>
      </c>
      <c r="T387" s="27" t="s">
        <v>34</v>
      </c>
      <c r="U387">
        <v>3900</v>
      </c>
    </row>
    <row r="388" spans="1:25" ht="29.25">
      <c r="A388" s="54">
        <v>46258</v>
      </c>
      <c r="B388" s="26" t="s">
        <v>42</v>
      </c>
      <c r="C388" s="26" t="s">
        <v>42</v>
      </c>
      <c r="D388" t="s">
        <v>390</v>
      </c>
      <c r="E388" t="s">
        <v>43</v>
      </c>
      <c r="F388" t="s">
        <v>391</v>
      </c>
      <c r="G388" t="s">
        <v>44</v>
      </c>
      <c r="H388" t="s">
        <v>44</v>
      </c>
      <c r="I388" t="s">
        <v>392</v>
      </c>
      <c r="J388" s="8" t="s">
        <v>29</v>
      </c>
      <c r="K388" s="45"/>
      <c r="P388" s="35" t="s">
        <v>31</v>
      </c>
      <c r="Q388" s="30" t="s">
        <v>32</v>
      </c>
      <c r="R388" s="31" t="s">
        <v>50</v>
      </c>
      <c r="S388" s="22">
        <v>5</v>
      </c>
      <c r="T388" s="32" t="s">
        <v>34</v>
      </c>
      <c r="U388">
        <v>12500</v>
      </c>
    </row>
    <row r="389" spans="1:25" ht="29.25">
      <c r="A389" s="21">
        <v>46260</v>
      </c>
      <c r="B389" s="22" t="s">
        <v>185</v>
      </c>
      <c r="C389" s="22" t="s">
        <v>185</v>
      </c>
      <c r="D389" t="s">
        <v>185</v>
      </c>
      <c r="E389" t="s">
        <v>186</v>
      </c>
      <c r="F389" t="s">
        <v>410</v>
      </c>
      <c r="G389">
        <v>9106474296</v>
      </c>
      <c r="H389">
        <v>9106474296</v>
      </c>
      <c r="I389" t="s">
        <v>392</v>
      </c>
      <c r="J389" s="8" t="s">
        <v>29</v>
      </c>
      <c r="K389" s="21">
        <v>46260</v>
      </c>
      <c r="L389" t="s">
        <v>411</v>
      </c>
      <c r="M389" t="s">
        <v>412</v>
      </c>
      <c r="N389" t="s">
        <v>413</v>
      </c>
      <c r="O389">
        <v>361001</v>
      </c>
      <c r="P389" s="33" t="s">
        <v>31</v>
      </c>
      <c r="Q389" s="24" t="s">
        <v>121</v>
      </c>
      <c r="R389" s="43" t="s">
        <v>33</v>
      </c>
      <c r="S389" s="26">
        <v>5</v>
      </c>
      <c r="T389" s="27" t="s">
        <v>34</v>
      </c>
      <c r="U389">
        <v>15000</v>
      </c>
      <c r="W389" s="10">
        <v>0.18</v>
      </c>
      <c r="Y389" s="10">
        <v>0.4</v>
      </c>
    </row>
    <row r="390" spans="1:25" ht="29.25">
      <c r="A390" s="28">
        <v>46260</v>
      </c>
      <c r="B390" s="26" t="s">
        <v>185</v>
      </c>
      <c r="C390" s="26" t="s">
        <v>185</v>
      </c>
      <c r="D390" t="s">
        <v>185</v>
      </c>
      <c r="E390" t="s">
        <v>186</v>
      </c>
      <c r="F390" t="s">
        <v>410</v>
      </c>
      <c r="G390">
        <v>9106474296</v>
      </c>
      <c r="H390">
        <v>9106474296</v>
      </c>
      <c r="I390" t="s">
        <v>392</v>
      </c>
      <c r="J390" s="8" t="s">
        <v>29</v>
      </c>
      <c r="K390" s="28">
        <v>46260</v>
      </c>
      <c r="L390" t="s">
        <v>411</v>
      </c>
      <c r="M390" t="s">
        <v>412</v>
      </c>
      <c r="N390" t="s">
        <v>413</v>
      </c>
      <c r="O390">
        <v>361001</v>
      </c>
      <c r="P390" s="35" t="s">
        <v>31</v>
      </c>
      <c r="Q390" s="30" t="s">
        <v>48</v>
      </c>
      <c r="R390" s="36" t="s">
        <v>41</v>
      </c>
      <c r="S390" s="58">
        <v>30</v>
      </c>
      <c r="T390" s="32" t="s">
        <v>189</v>
      </c>
      <c r="U390">
        <v>4600</v>
      </c>
      <c r="Y390" s="10">
        <v>0.4</v>
      </c>
    </row>
    <row r="391" spans="1:25" ht="29.25">
      <c r="A391" s="21">
        <v>46260</v>
      </c>
      <c r="B391" s="22" t="s">
        <v>185</v>
      </c>
      <c r="C391" s="22" t="s">
        <v>185</v>
      </c>
      <c r="D391" t="s">
        <v>185</v>
      </c>
      <c r="E391" t="s">
        <v>186</v>
      </c>
      <c r="F391" t="s">
        <v>410</v>
      </c>
      <c r="G391">
        <v>9106474296</v>
      </c>
      <c r="H391">
        <v>9106474296</v>
      </c>
      <c r="I391" t="s">
        <v>392</v>
      </c>
      <c r="J391" s="8" t="s">
        <v>29</v>
      </c>
      <c r="K391" s="21">
        <v>46260</v>
      </c>
      <c r="L391" t="s">
        <v>411</v>
      </c>
      <c r="M391" t="s">
        <v>412</v>
      </c>
      <c r="N391" t="s">
        <v>413</v>
      </c>
      <c r="O391">
        <v>361001</v>
      </c>
      <c r="P391" s="33" t="s">
        <v>31</v>
      </c>
      <c r="Q391" s="24" t="s">
        <v>32</v>
      </c>
      <c r="R391" s="25" t="s">
        <v>50</v>
      </c>
      <c r="S391" s="58">
        <v>7</v>
      </c>
      <c r="T391" s="27" t="s">
        <v>189</v>
      </c>
      <c r="U391">
        <v>12500</v>
      </c>
      <c r="Y391" s="10">
        <v>0.4</v>
      </c>
    </row>
    <row r="392" spans="1:25" ht="29.25">
      <c r="A392" s="28">
        <v>46260</v>
      </c>
      <c r="B392" s="26" t="s">
        <v>185</v>
      </c>
      <c r="C392" s="26" t="s">
        <v>185</v>
      </c>
      <c r="D392" t="s">
        <v>185</v>
      </c>
      <c r="E392" t="s">
        <v>186</v>
      </c>
      <c r="F392" t="s">
        <v>410</v>
      </c>
      <c r="G392">
        <v>9106474296</v>
      </c>
      <c r="H392">
        <v>9106474296</v>
      </c>
      <c r="I392" t="s">
        <v>392</v>
      </c>
      <c r="J392" s="8" t="s">
        <v>29</v>
      </c>
      <c r="K392" s="28">
        <v>46260</v>
      </c>
      <c r="L392" t="s">
        <v>411</v>
      </c>
      <c r="M392" t="s">
        <v>412</v>
      </c>
      <c r="N392" t="s">
        <v>413</v>
      </c>
      <c r="O392">
        <v>361001</v>
      </c>
      <c r="P392" s="35" t="s">
        <v>31</v>
      </c>
      <c r="Q392" s="30" t="s">
        <v>72</v>
      </c>
      <c r="R392" s="31" t="s">
        <v>50</v>
      </c>
      <c r="S392" s="58">
        <v>13</v>
      </c>
      <c r="T392" s="32" t="s">
        <v>189</v>
      </c>
      <c r="U392">
        <v>29800</v>
      </c>
      <c r="Y392" s="10">
        <v>0.4</v>
      </c>
    </row>
    <row r="393" spans="1:25" ht="29.25">
      <c r="A393" s="21">
        <v>46260</v>
      </c>
      <c r="B393" s="22" t="s">
        <v>185</v>
      </c>
      <c r="C393" s="22" t="s">
        <v>185</v>
      </c>
      <c r="D393" t="s">
        <v>185</v>
      </c>
      <c r="E393" t="s">
        <v>186</v>
      </c>
      <c r="F393" t="s">
        <v>410</v>
      </c>
      <c r="G393">
        <v>9106474296</v>
      </c>
      <c r="H393">
        <v>9106474296</v>
      </c>
      <c r="I393" t="s">
        <v>392</v>
      </c>
      <c r="J393" s="8" t="s">
        <v>29</v>
      </c>
      <c r="K393" s="21">
        <v>46260</v>
      </c>
      <c r="L393" t="s">
        <v>411</v>
      </c>
      <c r="M393" t="s">
        <v>412</v>
      </c>
      <c r="N393" t="s">
        <v>413</v>
      </c>
      <c r="O393">
        <v>361001</v>
      </c>
      <c r="P393" s="49" t="s">
        <v>57</v>
      </c>
      <c r="Q393" s="24" t="s">
        <v>48</v>
      </c>
      <c r="R393" s="25" t="s">
        <v>50</v>
      </c>
      <c r="S393" s="58">
        <v>2</v>
      </c>
      <c r="T393" s="27" t="s">
        <v>189</v>
      </c>
      <c r="U393">
        <v>8400</v>
      </c>
      <c r="Y393" s="10">
        <v>0.4</v>
      </c>
    </row>
    <row r="394" spans="1:25">
      <c r="A394" s="28">
        <v>46261</v>
      </c>
      <c r="B394" s="26" t="s">
        <v>379</v>
      </c>
      <c r="C394" s="26" t="s">
        <v>379</v>
      </c>
      <c r="J394" s="8" t="s">
        <v>29</v>
      </c>
      <c r="K394" s="28">
        <v>46261</v>
      </c>
      <c r="P394" s="42" t="s">
        <v>57</v>
      </c>
      <c r="Q394" s="30" t="s">
        <v>32</v>
      </c>
      <c r="R394" s="31" t="s">
        <v>50</v>
      </c>
      <c r="S394" s="58">
        <v>5</v>
      </c>
      <c r="T394" s="32" t="s">
        <v>189</v>
      </c>
      <c r="U394">
        <v>13350</v>
      </c>
      <c r="Y394" s="10">
        <v>0.4</v>
      </c>
    </row>
    <row r="395" spans="1:25">
      <c r="A395" s="28">
        <v>46260</v>
      </c>
      <c r="B395" s="26" t="s">
        <v>395</v>
      </c>
      <c r="C395" s="26" t="s">
        <v>395</v>
      </c>
      <c r="J395" s="8" t="s">
        <v>29</v>
      </c>
      <c r="K395" s="28">
        <v>46260</v>
      </c>
      <c r="P395" s="56" t="s">
        <v>396</v>
      </c>
      <c r="Q395" s="30"/>
      <c r="R395" s="47" t="s">
        <v>33</v>
      </c>
      <c r="S395" s="22">
        <v>1</v>
      </c>
      <c r="T395" s="32" t="s">
        <v>34</v>
      </c>
    </row>
    <row r="396" spans="1:25" ht="43.5">
      <c r="A396" s="21">
        <v>46262</v>
      </c>
      <c r="B396" s="22" t="s">
        <v>397</v>
      </c>
      <c r="C396" s="22" t="s">
        <v>397</v>
      </c>
      <c r="J396" s="8" t="s">
        <v>29</v>
      </c>
      <c r="K396" s="21">
        <v>46262</v>
      </c>
      <c r="P396" s="33" t="s">
        <v>31</v>
      </c>
      <c r="Q396" s="24" t="s">
        <v>72</v>
      </c>
      <c r="R396" s="34" t="s">
        <v>90</v>
      </c>
      <c r="S396" s="26">
        <v>2</v>
      </c>
      <c r="T396" s="27" t="s">
        <v>34</v>
      </c>
    </row>
    <row r="397" spans="1:25" ht="43.5">
      <c r="A397" s="28">
        <v>46262</v>
      </c>
      <c r="B397" s="26" t="s">
        <v>397</v>
      </c>
      <c r="C397" s="26" t="s">
        <v>397</v>
      </c>
      <c r="J397" s="8" t="s">
        <v>29</v>
      </c>
      <c r="K397" s="28">
        <v>46262</v>
      </c>
      <c r="P397" s="35" t="s">
        <v>31</v>
      </c>
      <c r="Q397" s="30" t="s">
        <v>72</v>
      </c>
      <c r="R397" s="38" t="s">
        <v>47</v>
      </c>
      <c r="S397" s="58">
        <v>25</v>
      </c>
      <c r="T397" s="32" t="s">
        <v>34</v>
      </c>
    </row>
    <row r="398" spans="1:25" ht="29.25">
      <c r="A398" s="21">
        <v>46262</v>
      </c>
      <c r="B398" s="22" t="s">
        <v>398</v>
      </c>
      <c r="C398" s="22" t="s">
        <v>398</v>
      </c>
      <c r="J398" s="8" t="s">
        <v>29</v>
      </c>
      <c r="K398" s="21">
        <v>46262</v>
      </c>
      <c r="P398" s="33" t="s">
        <v>31</v>
      </c>
      <c r="Q398" s="24" t="s">
        <v>77</v>
      </c>
      <c r="R398" s="39" t="s">
        <v>47</v>
      </c>
      <c r="S398" s="58">
        <v>44</v>
      </c>
      <c r="T398" s="27" t="s">
        <v>34</v>
      </c>
    </row>
    <row r="399" spans="1:25" ht="29.25">
      <c r="A399" s="28">
        <v>46262</v>
      </c>
      <c r="B399" s="26" t="s">
        <v>398</v>
      </c>
      <c r="C399" s="26" t="s">
        <v>398</v>
      </c>
      <c r="J399" s="8" t="s">
        <v>29</v>
      </c>
      <c r="K399" s="28">
        <v>46262</v>
      </c>
      <c r="P399" s="35" t="s">
        <v>31</v>
      </c>
      <c r="Q399" s="30" t="s">
        <v>46</v>
      </c>
      <c r="R399" s="36" t="s">
        <v>41</v>
      </c>
      <c r="S399" s="58">
        <v>35</v>
      </c>
      <c r="T399" s="32" t="s">
        <v>34</v>
      </c>
    </row>
    <row r="400" spans="1:25" ht="29.25">
      <c r="A400" s="21">
        <v>46262</v>
      </c>
      <c r="B400" s="22" t="s">
        <v>398</v>
      </c>
      <c r="C400" s="22" t="s">
        <v>398</v>
      </c>
      <c r="J400" s="8" t="s">
        <v>29</v>
      </c>
      <c r="K400" s="21">
        <v>46262</v>
      </c>
      <c r="P400" s="33" t="s">
        <v>31</v>
      </c>
      <c r="Q400" s="24" t="s">
        <v>77</v>
      </c>
      <c r="R400" s="37" t="s">
        <v>41</v>
      </c>
      <c r="S400" s="58">
        <v>18</v>
      </c>
      <c r="T400" s="27" t="s">
        <v>34</v>
      </c>
    </row>
    <row r="401" spans="1:25" ht="29.25">
      <c r="A401" s="28">
        <v>46262</v>
      </c>
      <c r="B401" s="26" t="s">
        <v>398</v>
      </c>
      <c r="C401" s="26" t="s">
        <v>398</v>
      </c>
      <c r="J401" s="8" t="s">
        <v>29</v>
      </c>
      <c r="K401" s="28">
        <v>46262</v>
      </c>
      <c r="P401" s="35" t="s">
        <v>31</v>
      </c>
      <c r="Q401" s="30" t="s">
        <v>198</v>
      </c>
      <c r="R401" s="36" t="s">
        <v>41</v>
      </c>
      <c r="S401" s="58">
        <v>20</v>
      </c>
      <c r="T401" s="32" t="s">
        <v>34</v>
      </c>
    </row>
    <row r="402" spans="1:25" ht="15.75" thickBot="1">
      <c r="A402" s="21">
        <v>46262</v>
      </c>
      <c r="B402" s="22" t="s">
        <v>399</v>
      </c>
      <c r="C402" s="22" t="s">
        <v>399</v>
      </c>
      <c r="J402" s="8" t="s">
        <v>29</v>
      </c>
      <c r="K402" s="21">
        <v>46262</v>
      </c>
      <c r="P402" s="33" t="s">
        <v>31</v>
      </c>
      <c r="Q402" s="24" t="s">
        <v>78</v>
      </c>
      <c r="R402" s="37" t="s">
        <v>41</v>
      </c>
      <c r="S402" s="58">
        <v>10</v>
      </c>
      <c r="T402" s="27" t="s">
        <v>34</v>
      </c>
    </row>
    <row r="403" spans="1:25" ht="30" thickBot="1">
      <c r="A403" s="28">
        <v>46265</v>
      </c>
      <c r="B403" s="26" t="s">
        <v>400</v>
      </c>
      <c r="C403" s="26" t="s">
        <v>400</v>
      </c>
      <c r="D403" s="22" t="s">
        <v>400</v>
      </c>
      <c r="E403" s="59" t="s">
        <v>414</v>
      </c>
      <c r="F403" s="59" t="s">
        <v>415</v>
      </c>
      <c r="G403" t="s">
        <v>392</v>
      </c>
      <c r="H403" s="60" t="s">
        <v>392</v>
      </c>
      <c r="I403" s="60" t="s">
        <v>392</v>
      </c>
      <c r="J403" s="8" t="s">
        <v>29</v>
      </c>
      <c r="K403" s="28">
        <v>46265</v>
      </c>
      <c r="P403" s="40" t="s">
        <v>143</v>
      </c>
      <c r="Q403" s="30" t="s">
        <v>401</v>
      </c>
      <c r="R403" s="38" t="s">
        <v>47</v>
      </c>
      <c r="S403" s="58">
        <v>29</v>
      </c>
      <c r="T403" s="32" t="s">
        <v>402</v>
      </c>
    </row>
    <row r="404" spans="1:25" ht="15.75" thickBot="1">
      <c r="A404" s="21">
        <v>46265</v>
      </c>
      <c r="B404" s="22" t="s">
        <v>400</v>
      </c>
      <c r="C404" s="22" t="s">
        <v>400</v>
      </c>
      <c r="D404" s="22" t="s">
        <v>400</v>
      </c>
      <c r="E404" s="59" t="s">
        <v>414</v>
      </c>
      <c r="F404" s="59" t="s">
        <v>415</v>
      </c>
      <c r="G404" t="s">
        <v>392</v>
      </c>
      <c r="H404" s="60" t="s">
        <v>392</v>
      </c>
      <c r="I404" s="60" t="s">
        <v>392</v>
      </c>
      <c r="J404" s="8" t="s">
        <v>29</v>
      </c>
      <c r="K404" s="21">
        <v>46265</v>
      </c>
      <c r="L404" t="s">
        <v>416</v>
      </c>
      <c r="M404" t="s">
        <v>412</v>
      </c>
      <c r="N404" t="s">
        <v>416</v>
      </c>
      <c r="O404">
        <v>382445</v>
      </c>
      <c r="P404" s="33" t="s">
        <v>31</v>
      </c>
      <c r="Q404" s="24" t="s">
        <v>403</v>
      </c>
      <c r="R404" s="37" t="s">
        <v>41</v>
      </c>
      <c r="S404" s="58">
        <v>4</v>
      </c>
      <c r="T404" s="27" t="s">
        <v>34</v>
      </c>
      <c r="U404">
        <v>400</v>
      </c>
    </row>
    <row r="405" spans="1:25" ht="15.75" thickBot="1">
      <c r="A405" s="28">
        <v>46265</v>
      </c>
      <c r="B405" s="26" t="s">
        <v>400</v>
      </c>
      <c r="C405" s="26" t="s">
        <v>400</v>
      </c>
      <c r="D405" s="22" t="s">
        <v>400</v>
      </c>
      <c r="E405" s="59" t="s">
        <v>414</v>
      </c>
      <c r="F405" s="59" t="s">
        <v>415</v>
      </c>
      <c r="G405" t="s">
        <v>392</v>
      </c>
      <c r="H405" s="60" t="s">
        <v>392</v>
      </c>
      <c r="I405" s="60" t="s">
        <v>392</v>
      </c>
      <c r="J405" s="8" t="s">
        <v>29</v>
      </c>
      <c r="K405" s="28">
        <v>46265</v>
      </c>
      <c r="P405" s="35" t="s">
        <v>31</v>
      </c>
      <c r="Q405" s="30" t="s">
        <v>115</v>
      </c>
      <c r="R405" s="36" t="s">
        <v>41</v>
      </c>
      <c r="S405" s="58">
        <v>1</v>
      </c>
      <c r="T405" s="32" t="s">
        <v>34</v>
      </c>
      <c r="U405">
        <v>500</v>
      </c>
    </row>
    <row r="406" spans="1:25" ht="15.75" thickBot="1">
      <c r="A406" s="21">
        <v>46265</v>
      </c>
      <c r="B406" s="22" t="s">
        <v>404</v>
      </c>
      <c r="C406" s="22" t="s">
        <v>404</v>
      </c>
      <c r="J406" s="8" t="s">
        <v>29</v>
      </c>
      <c r="K406" s="21">
        <v>46265</v>
      </c>
      <c r="P406" s="33" t="s">
        <v>31</v>
      </c>
      <c r="Q406" s="24" t="s">
        <v>284</v>
      </c>
      <c r="R406" s="37" t="s">
        <v>41</v>
      </c>
      <c r="S406" s="58">
        <v>3</v>
      </c>
      <c r="T406" s="27" t="s">
        <v>34</v>
      </c>
      <c r="U406">
        <v>1430</v>
      </c>
    </row>
    <row r="407" spans="1:25" ht="15.75" thickBot="1">
      <c r="A407" s="28">
        <v>46265</v>
      </c>
      <c r="B407" s="26" t="s">
        <v>264</v>
      </c>
      <c r="C407" s="26" t="s">
        <v>264</v>
      </c>
      <c r="D407" t="s">
        <v>264</v>
      </c>
      <c r="E407" t="s">
        <v>265</v>
      </c>
      <c r="F407" s="61" t="s">
        <v>417</v>
      </c>
      <c r="G407">
        <v>9824538982</v>
      </c>
      <c r="H407">
        <v>9824538982</v>
      </c>
      <c r="I407" s="61" t="s">
        <v>392</v>
      </c>
      <c r="J407" s="8" t="s">
        <v>29</v>
      </c>
      <c r="K407" s="28">
        <v>46265</v>
      </c>
      <c r="L407" t="s">
        <v>418</v>
      </c>
      <c r="M407" t="s">
        <v>412</v>
      </c>
      <c r="N407" t="s">
        <v>419</v>
      </c>
      <c r="O407">
        <v>395006</v>
      </c>
      <c r="P407" s="35" t="s">
        <v>31</v>
      </c>
      <c r="Q407" s="30" t="s">
        <v>72</v>
      </c>
      <c r="R407" s="36" t="s">
        <v>41</v>
      </c>
      <c r="S407" s="58">
        <v>4</v>
      </c>
      <c r="T407" s="32" t="s">
        <v>34</v>
      </c>
    </row>
    <row r="408" spans="1:25" ht="30" thickBot="1">
      <c r="A408" s="21">
        <v>46265</v>
      </c>
      <c r="B408" s="22" t="s">
        <v>85</v>
      </c>
      <c r="C408" s="22" t="s">
        <v>85</v>
      </c>
      <c r="J408" s="8" t="s">
        <v>29</v>
      </c>
      <c r="K408" s="21">
        <v>46265</v>
      </c>
      <c r="P408" s="49" t="s">
        <v>57</v>
      </c>
      <c r="Q408" s="24" t="s">
        <v>48</v>
      </c>
      <c r="R408" s="25" t="s">
        <v>50</v>
      </c>
      <c r="S408" s="58">
        <v>3</v>
      </c>
      <c r="T408" s="27" t="s">
        <v>34</v>
      </c>
      <c r="U408">
        <v>9300</v>
      </c>
      <c r="W408" s="10">
        <v>0.18</v>
      </c>
      <c r="Y408" s="10">
        <v>0.45</v>
      </c>
    </row>
    <row r="409" spans="1:25" ht="29.25">
      <c r="A409" s="28">
        <v>46265</v>
      </c>
      <c r="B409" s="26" t="s">
        <v>85</v>
      </c>
      <c r="C409" s="26" t="s">
        <v>85</v>
      </c>
      <c r="J409" s="8" t="s">
        <v>29</v>
      </c>
      <c r="K409" s="28">
        <v>46265</v>
      </c>
      <c r="P409" s="35" t="s">
        <v>31</v>
      </c>
      <c r="Q409" s="30" t="s">
        <v>115</v>
      </c>
      <c r="R409" s="36" t="s">
        <v>41</v>
      </c>
      <c r="S409" s="58">
        <v>20</v>
      </c>
      <c r="T409" s="32" t="s">
        <v>326</v>
      </c>
    </row>
    <row r="410" spans="1:25" ht="29.25">
      <c r="A410" s="21">
        <v>46266</v>
      </c>
      <c r="B410" s="22" t="s">
        <v>42</v>
      </c>
      <c r="C410" s="22" t="s">
        <v>42</v>
      </c>
      <c r="J410" s="8" t="s">
        <v>29</v>
      </c>
      <c r="K410" s="21">
        <v>46266</v>
      </c>
      <c r="P410" s="33" t="s">
        <v>31</v>
      </c>
      <c r="Q410" s="24" t="s">
        <v>89</v>
      </c>
      <c r="R410" s="37" t="s">
        <v>41</v>
      </c>
      <c r="S410" s="58">
        <v>33</v>
      </c>
      <c r="T410" s="27" t="s">
        <v>326</v>
      </c>
    </row>
    <row r="411" spans="1:25" ht="29.25">
      <c r="A411" s="28">
        <v>46266</v>
      </c>
      <c r="B411" s="26" t="s">
        <v>79</v>
      </c>
      <c r="C411" s="26" t="s">
        <v>79</v>
      </c>
      <c r="J411" s="8" t="s">
        <v>29</v>
      </c>
      <c r="K411" s="28">
        <v>46266</v>
      </c>
      <c r="P411" s="35" t="s">
        <v>31</v>
      </c>
      <c r="Q411" s="30" t="s">
        <v>32</v>
      </c>
      <c r="R411" s="47" t="s">
        <v>33</v>
      </c>
      <c r="S411" s="58">
        <v>25</v>
      </c>
      <c r="T411" s="32" t="s">
        <v>34</v>
      </c>
    </row>
    <row r="412" spans="1:25" ht="29.25">
      <c r="A412" s="21">
        <v>46266</v>
      </c>
      <c r="B412" s="22" t="s">
        <v>79</v>
      </c>
      <c r="C412" s="22" t="s">
        <v>79</v>
      </c>
      <c r="J412" s="8" t="s">
        <v>29</v>
      </c>
      <c r="K412" s="21">
        <v>46266</v>
      </c>
      <c r="P412" s="33" t="s">
        <v>31</v>
      </c>
      <c r="Q412" s="24" t="s">
        <v>121</v>
      </c>
      <c r="R412" s="37" t="s">
        <v>41</v>
      </c>
      <c r="S412" s="58">
        <v>6</v>
      </c>
      <c r="T412" s="27" t="s">
        <v>34</v>
      </c>
    </row>
    <row r="413" spans="1:25" ht="29.25">
      <c r="A413" s="28">
        <v>46266</v>
      </c>
      <c r="B413" s="26" t="s">
        <v>79</v>
      </c>
      <c r="C413" s="26" t="s">
        <v>79</v>
      </c>
      <c r="J413" s="8" t="s">
        <v>29</v>
      </c>
      <c r="K413" s="28">
        <v>46266</v>
      </c>
      <c r="P413" s="35" t="s">
        <v>31</v>
      </c>
      <c r="Q413" s="30" t="s">
        <v>121</v>
      </c>
      <c r="R413" s="47" t="s">
        <v>33</v>
      </c>
      <c r="S413" s="58">
        <v>16</v>
      </c>
      <c r="T413" s="32" t="s">
        <v>34</v>
      </c>
    </row>
    <row r="414" spans="1:25" ht="29.25">
      <c r="A414" s="21">
        <v>46266</v>
      </c>
      <c r="B414" s="22" t="s">
        <v>405</v>
      </c>
      <c r="C414" s="22" t="s">
        <v>405</v>
      </c>
      <c r="J414" s="8" t="s">
        <v>29</v>
      </c>
      <c r="K414" s="21">
        <v>46266</v>
      </c>
      <c r="P414" s="33" t="s">
        <v>31</v>
      </c>
      <c r="Q414" s="24" t="s">
        <v>32</v>
      </c>
      <c r="R414" s="37" t="s">
        <v>41</v>
      </c>
      <c r="S414" s="58">
        <v>12</v>
      </c>
      <c r="T414" s="27" t="s">
        <v>34</v>
      </c>
    </row>
    <row r="415" spans="1:25" ht="29.25">
      <c r="A415" s="28">
        <v>46267</v>
      </c>
      <c r="B415" s="26" t="s">
        <v>406</v>
      </c>
      <c r="C415" s="26" t="s">
        <v>406</v>
      </c>
      <c r="J415" s="8" t="s">
        <v>29</v>
      </c>
      <c r="K415" s="28">
        <v>46267</v>
      </c>
      <c r="P415" s="40" t="s">
        <v>143</v>
      </c>
      <c r="Q415" s="30" t="s">
        <v>407</v>
      </c>
      <c r="R415" s="36" t="s">
        <v>41</v>
      </c>
      <c r="S415" s="58">
        <v>88</v>
      </c>
      <c r="T415" s="32" t="s">
        <v>34</v>
      </c>
    </row>
    <row r="416" spans="1:25">
      <c r="A416" s="21">
        <v>46267</v>
      </c>
      <c r="B416" s="22" t="s">
        <v>406</v>
      </c>
      <c r="C416" s="22" t="s">
        <v>406</v>
      </c>
      <c r="J416" s="8" t="s">
        <v>29</v>
      </c>
      <c r="K416" s="21">
        <v>46267</v>
      </c>
      <c r="P416" s="33" t="s">
        <v>31</v>
      </c>
      <c r="Q416" s="24" t="s">
        <v>109</v>
      </c>
      <c r="R416" s="37" t="s">
        <v>41</v>
      </c>
      <c r="S416" s="26">
        <v>2</v>
      </c>
      <c r="T416" s="27" t="s">
        <v>34</v>
      </c>
    </row>
    <row r="417" spans="1:20" ht="29.25">
      <c r="A417" s="28">
        <v>46268</v>
      </c>
      <c r="B417" s="26" t="s">
        <v>42</v>
      </c>
      <c r="C417" s="26" t="s">
        <v>42</v>
      </c>
      <c r="J417" s="8" t="s">
        <v>29</v>
      </c>
      <c r="K417" s="28">
        <v>46268</v>
      </c>
      <c r="P417" s="35" t="s">
        <v>31</v>
      </c>
      <c r="Q417" s="30" t="s">
        <v>338</v>
      </c>
      <c r="R417" s="36" t="s">
        <v>41</v>
      </c>
      <c r="S417" s="22">
        <v>5</v>
      </c>
      <c r="T417" s="32" t="s">
        <v>34</v>
      </c>
    </row>
    <row r="418" spans="1:20" ht="29.25">
      <c r="A418" s="21">
        <v>46268</v>
      </c>
      <c r="B418" s="22" t="s">
        <v>42</v>
      </c>
      <c r="C418" s="22" t="s">
        <v>42</v>
      </c>
      <c r="J418" s="8" t="s">
        <v>29</v>
      </c>
      <c r="K418" s="21">
        <v>46268</v>
      </c>
      <c r="P418" s="23" t="s">
        <v>58</v>
      </c>
      <c r="Q418" s="24" t="s">
        <v>32</v>
      </c>
      <c r="R418" s="43" t="s">
        <v>33</v>
      </c>
      <c r="S418" s="58">
        <v>3</v>
      </c>
      <c r="T418" s="27" t="s">
        <v>34</v>
      </c>
    </row>
    <row r="419" spans="1:20">
      <c r="A419" s="28">
        <v>46268</v>
      </c>
      <c r="B419" s="26" t="s">
        <v>408</v>
      </c>
      <c r="C419" s="26" t="s">
        <v>408</v>
      </c>
      <c r="J419" s="8" t="s">
        <v>29</v>
      </c>
      <c r="K419" s="28">
        <v>46268</v>
      </c>
      <c r="P419" s="42" t="s">
        <v>57</v>
      </c>
      <c r="Q419" s="30" t="s">
        <v>236</v>
      </c>
      <c r="R419" s="36" t="s">
        <v>41</v>
      </c>
      <c r="S419" s="22">
        <v>1</v>
      </c>
      <c r="T419" s="32" t="s">
        <v>34</v>
      </c>
    </row>
    <row r="420" spans="1:20">
      <c r="A420" s="21">
        <v>46151</v>
      </c>
      <c r="B420" s="22" t="s">
        <v>409</v>
      </c>
      <c r="C420" s="22" t="s">
        <v>409</v>
      </c>
      <c r="J420" s="8" t="s">
        <v>29</v>
      </c>
      <c r="K420" s="21">
        <v>46151</v>
      </c>
      <c r="P420" s="33" t="s">
        <v>31</v>
      </c>
      <c r="Q420" s="24" t="s">
        <v>121</v>
      </c>
      <c r="R420" s="37" t="s">
        <v>41</v>
      </c>
      <c r="S420" s="26">
        <v>5</v>
      </c>
      <c r="T420" s="27" t="s">
        <v>34</v>
      </c>
    </row>
    <row r="421" spans="1:20">
      <c r="A421" s="28">
        <v>46151</v>
      </c>
      <c r="B421" s="26" t="s">
        <v>379</v>
      </c>
      <c r="C421" s="26" t="s">
        <v>379</v>
      </c>
      <c r="J421" s="8" t="s">
        <v>29</v>
      </c>
      <c r="K421" s="28">
        <v>46151</v>
      </c>
      <c r="P421" s="35" t="s">
        <v>31</v>
      </c>
      <c r="Q421" s="30" t="s">
        <v>32</v>
      </c>
      <c r="R421" s="36" t="s">
        <v>41</v>
      </c>
      <c r="S421" s="22">
        <v>5</v>
      </c>
      <c r="T421" s="32" t="s">
        <v>34</v>
      </c>
    </row>
    <row r="422" spans="1:20">
      <c r="A422" s="21">
        <v>46151</v>
      </c>
      <c r="B422" s="22" t="s">
        <v>379</v>
      </c>
      <c r="C422" s="22" t="s">
        <v>379</v>
      </c>
      <c r="J422" s="8" t="s">
        <v>29</v>
      </c>
      <c r="K422" s="21">
        <v>46151</v>
      </c>
      <c r="P422" s="33" t="s">
        <v>31</v>
      </c>
      <c r="Q422" s="24" t="s">
        <v>48</v>
      </c>
      <c r="R422" s="34" t="s">
        <v>90</v>
      </c>
      <c r="S422" s="58">
        <v>2</v>
      </c>
      <c r="T422" s="27" t="s">
        <v>189</v>
      </c>
    </row>
    <row r="423" spans="1:20" ht="29.25">
      <c r="A423" s="28">
        <v>46151</v>
      </c>
      <c r="B423" s="26" t="s">
        <v>379</v>
      </c>
      <c r="C423" s="26" t="s">
        <v>379</v>
      </c>
      <c r="J423" s="8" t="s">
        <v>29</v>
      </c>
      <c r="K423" s="28">
        <v>46151</v>
      </c>
      <c r="P423" s="29" t="s">
        <v>58</v>
      </c>
      <c r="Q423" s="30" t="s">
        <v>127</v>
      </c>
      <c r="R423" s="57" t="s">
        <v>90</v>
      </c>
      <c r="S423" s="58">
        <v>1</v>
      </c>
      <c r="T423" s="32" t="s">
        <v>67</v>
      </c>
    </row>
    <row r="424" spans="1:20" ht="29.25">
      <c r="A424" s="21">
        <v>46151</v>
      </c>
      <c r="B424" s="22" t="s">
        <v>379</v>
      </c>
      <c r="C424" s="22" t="s">
        <v>379</v>
      </c>
      <c r="J424" s="8" t="s">
        <v>29</v>
      </c>
      <c r="K424" s="21">
        <v>46151</v>
      </c>
      <c r="P424" s="23" t="s">
        <v>58</v>
      </c>
      <c r="Q424" s="24" t="s">
        <v>127</v>
      </c>
      <c r="R424" s="37" t="s">
        <v>41</v>
      </c>
      <c r="S424" s="58">
        <v>2</v>
      </c>
      <c r="T424" s="27" t="s">
        <v>67</v>
      </c>
    </row>
    <row r="425" spans="1:20" ht="29.25">
      <c r="A425" s="28">
        <v>46151</v>
      </c>
      <c r="B425" s="26" t="s">
        <v>379</v>
      </c>
      <c r="C425" s="26" t="s">
        <v>379</v>
      </c>
      <c r="J425" s="8" t="s">
        <v>29</v>
      </c>
      <c r="K425" s="28">
        <v>46151</v>
      </c>
      <c r="P425" s="29" t="s">
        <v>58</v>
      </c>
      <c r="Q425" s="30" t="s">
        <v>315</v>
      </c>
      <c r="R425" s="57" t="s">
        <v>90</v>
      </c>
      <c r="S425" s="58">
        <v>2</v>
      </c>
      <c r="T425" s="32" t="s">
        <v>67</v>
      </c>
    </row>
    <row r="426" spans="1:20" ht="29.25">
      <c r="A426" s="21">
        <v>46151</v>
      </c>
      <c r="B426" s="22" t="s">
        <v>379</v>
      </c>
      <c r="C426" s="22" t="s">
        <v>379</v>
      </c>
      <c r="J426" s="8" t="s">
        <v>29</v>
      </c>
      <c r="K426" s="21">
        <v>46151</v>
      </c>
      <c r="P426" s="23" t="s">
        <v>58</v>
      </c>
      <c r="Q426" s="24" t="s">
        <v>315</v>
      </c>
      <c r="R426" s="37" t="s">
        <v>41</v>
      </c>
      <c r="S426" s="58">
        <v>1</v>
      </c>
      <c r="T426" s="27" t="s">
        <v>67</v>
      </c>
    </row>
    <row r="427" spans="1:20">
      <c r="J427" s="8"/>
      <c r="P427" s="29" t="s">
        <v>58</v>
      </c>
      <c r="Q427" s="30" t="s">
        <v>72</v>
      </c>
      <c r="R427" s="57" t="s">
        <v>90</v>
      </c>
      <c r="S427" s="58">
        <v>2</v>
      </c>
      <c r="T427" s="32" t="s">
        <v>67</v>
      </c>
    </row>
    <row r="428" spans="1:20">
      <c r="J428" s="8"/>
    </row>
    <row r="429" spans="1:20">
      <c r="J429" s="8"/>
    </row>
    <row r="430" spans="1:20">
      <c r="J430" s="8"/>
    </row>
    <row r="431" spans="1:20">
      <c r="J431" s="8"/>
    </row>
    <row r="432" spans="1:20">
      <c r="J432" s="8"/>
    </row>
    <row r="433" spans="10:10">
      <c r="J433" s="8"/>
    </row>
    <row r="434" spans="10:10">
      <c r="J434" s="8"/>
    </row>
    <row r="435" spans="10:10">
      <c r="J435" s="8"/>
    </row>
    <row r="436" spans="10:10">
      <c r="J436" s="8"/>
    </row>
    <row r="437" spans="10:10">
      <c r="J437" s="8"/>
    </row>
    <row r="438" spans="10:10">
      <c r="J438" s="8"/>
    </row>
    <row r="439" spans="10:10">
      <c r="J439" s="8"/>
    </row>
    <row r="440" spans="10:10">
      <c r="J440" s="8"/>
    </row>
    <row r="441" spans="10:10">
      <c r="J441" s="8"/>
    </row>
    <row r="442" spans="10:10">
      <c r="J442" s="8"/>
    </row>
    <row r="443" spans="10:10">
      <c r="J443" s="8"/>
    </row>
    <row r="444" spans="10:10">
      <c r="J444" s="8"/>
    </row>
    <row r="445" spans="10:10">
      <c r="J445" s="8"/>
    </row>
    <row r="446" spans="10:10">
      <c r="J446" s="8"/>
    </row>
    <row r="447" spans="10:10">
      <c r="J447" s="8"/>
    </row>
    <row r="448" spans="10:10">
      <c r="J448" s="8"/>
    </row>
    <row r="449" spans="10:10">
      <c r="J449" s="8"/>
    </row>
    <row r="450" spans="10:10">
      <c r="J450" s="8"/>
    </row>
    <row r="451" spans="10:10">
      <c r="J451" s="8"/>
    </row>
    <row r="452" spans="10:10">
      <c r="J452" s="8"/>
    </row>
    <row r="453" spans="10:10">
      <c r="J453" s="8"/>
    </row>
    <row r="454" spans="10:10">
      <c r="J454" s="8"/>
    </row>
    <row r="455" spans="10:10">
      <c r="J455" s="8"/>
    </row>
    <row r="456" spans="10:10">
      <c r="J456" s="8"/>
    </row>
    <row r="457" spans="10:10">
      <c r="J457" s="8"/>
    </row>
    <row r="458" spans="10:10">
      <c r="J458" s="8"/>
    </row>
    <row r="459" spans="10:10">
      <c r="J459" s="8"/>
    </row>
    <row r="460" spans="10:10">
      <c r="J460" s="8"/>
    </row>
    <row r="461" spans="10:10">
      <c r="J461" s="8"/>
    </row>
    <row r="462" spans="10:10">
      <c r="J462" s="8"/>
    </row>
    <row r="463" spans="10:10">
      <c r="J463" s="8"/>
    </row>
    <row r="464" spans="10:10">
      <c r="J464" s="8"/>
    </row>
    <row r="465" spans="10:10">
      <c r="J465" s="8"/>
    </row>
    <row r="466" spans="10:10">
      <c r="J466" s="8"/>
    </row>
    <row r="467" spans="10:10">
      <c r="J467" s="8"/>
    </row>
    <row r="468" spans="10:10">
      <c r="J468" s="8"/>
    </row>
    <row r="469" spans="10:10">
      <c r="J469" s="8"/>
    </row>
    <row r="470" spans="10:10">
      <c r="J470" s="8"/>
    </row>
    <row r="471" spans="10:10">
      <c r="J471" s="8"/>
    </row>
    <row r="472" spans="10:10">
      <c r="J472" s="8"/>
    </row>
    <row r="473" spans="10:10">
      <c r="J473" s="8"/>
    </row>
    <row r="474" spans="10:10">
      <c r="J474" s="8"/>
    </row>
    <row r="475" spans="10:10">
      <c r="J475" s="8"/>
    </row>
    <row r="476" spans="10:10">
      <c r="J476" s="8"/>
    </row>
    <row r="477" spans="10:10">
      <c r="J477" s="8"/>
    </row>
    <row r="478" spans="10:10">
      <c r="J478" s="8"/>
    </row>
    <row r="479" spans="10:10">
      <c r="J479" s="8"/>
    </row>
    <row r="480" spans="10:10">
      <c r="J480" s="8"/>
    </row>
    <row r="481" spans="10:10">
      <c r="J481" s="8"/>
    </row>
    <row r="482" spans="10:10">
      <c r="J482" s="8"/>
    </row>
    <row r="483" spans="10:10">
      <c r="J483" s="8"/>
    </row>
    <row r="484" spans="10:10">
      <c r="J484" s="8"/>
    </row>
  </sheetData>
  <autoFilter ref="A1:Z427" xr:uid="{00000000-0009-0000-0000-000000000000}"/>
  <mergeCells count="1">
    <mergeCell ref="P1:R1"/>
  </mergeCells>
  <hyperlinks>
    <hyperlink ref="I2" r:id="rId1" xr:uid="{00000000-0004-0000-0000-000000000000}"/>
    <hyperlink ref="I3:I316" r:id="rId2" display="info@thehimalaya.co.in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Baman</dc:creator>
  <cp:lastModifiedBy>SYSTEM3</cp:lastModifiedBy>
  <dcterms:created xsi:type="dcterms:W3CDTF">2026-08-15T09:21:00Z</dcterms:created>
  <dcterms:modified xsi:type="dcterms:W3CDTF">2026-09-09T06:33:38Z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A8BE731CE6124DA79DEBE533CD84088B_12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